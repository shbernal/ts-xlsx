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test\corpus\fixtures\xlsb-formula-token-streams-decode-to-formula-text\"/>
    </mc:Choice>
  </mc:AlternateContent>
  <xr:revisionPtr revIDLastSave="0" documentId="8_{D671EB6E-044C-40C2-87D0-9CFD54E22FAB}" xr6:coauthVersionLast="47" xr6:coauthVersionMax="47" xr10:uidLastSave="{00000000-0000-0000-0000-000000000000}"/>
  <bookViews>
    <workbookView xWindow="-110" yWindow="-110" windowWidth="19420" windowHeight="12220" xr2:uid="{D2A752C1-F6A8-434E-AC3E-E7643856A299}"/>
  </bookViews>
  <sheets>
    <sheet name="Calc" sheetId="1" r:id="rId1"/>
    <sheet name="Data" sheetId="2" r:id="rId2"/>
    <sheet name="More" sheetId="3" r:id="rId3"/>
    <sheet name="Odd Name" sheetId="4" r:id="rId4"/>
  </sheets>
  <definedNames>
    <definedName name="Factor">2</definedName>
    <definedName name="Local" localSheetId="0">Calc!$A$1</definedName>
    <definedName name="Rate">Calc!$E$1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1" l="1" a="1"/>
  <c r="F1" i="1" s="1"/>
  <c r="D1" i="1"/>
  <c r="D2" i="1"/>
  <c r="D3" i="1"/>
  <c r="D4" i="1"/>
  <c r="D5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<sst xmlns="http://schemas.openxmlformats.org/spreadsheetml/2006/main" count="35" uniqueCount="35">
  <si>
    <t>int literals and precedence</t>
  </si>
  <si>
    <t>parenthesised subexpression</t>
  </si>
  <si>
    <t>float literal</t>
  </si>
  <si>
    <t>unary minus</t>
  </si>
  <si>
    <t>percent postfix</t>
  </si>
  <si>
    <t>exponent</t>
  </si>
  <si>
    <t>string concatenation</t>
  </si>
  <si>
    <t>string with doubled quote</t>
  </si>
  <si>
    <t>comparison</t>
  </si>
  <si>
    <t>not equal</t>
  </si>
  <si>
    <t>boolean literal</t>
  </si>
  <si>
    <t>error literal</t>
  </si>
  <si>
    <t>mixed absolute reference</t>
  </si>
  <si>
    <t>range argument</t>
  </si>
  <si>
    <t>nested calls</t>
  </si>
  <si>
    <t>multi-argument call</t>
  </si>
  <si>
    <t>argument list with a range</t>
  </si>
  <si>
    <t>zero-argument call</t>
  </si>
  <si>
    <t>cross-sheet range</t>
  </si>
  <si>
    <t>cross-sheet single cell</t>
  </si>
  <si>
    <t>quoted sheet name</t>
  </si>
  <si>
    <t>three-dimensional span</t>
  </si>
  <si>
    <t>whole column</t>
  </si>
  <si>
    <t>whole row on another sheet</t>
  </si>
  <si>
    <t>defined name</t>
  </si>
  <si>
    <t>defined name holding constant</t>
  </si>
  <si>
    <t>sheet-scoped defined name</t>
  </si>
  <si>
    <t>range intersection</t>
  </si>
  <si>
    <t>future function</t>
  </si>
  <si>
    <t>parenthesised union</t>
  </si>
  <si>
    <t>array constant</t>
  </si>
  <si>
    <t>non-square array constant</t>
  </si>
  <si>
    <t>mixed-type array constant</t>
  </si>
  <si>
    <t>omitted argument</t>
  </si>
  <si>
    <t>reference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</si>
</sst>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6533-6D9A-4B23-8377-12F416328A05}">
  <dimension ref="A1:F35"/>
  <sheetViews>
    <sheetView tabSelected="1" workbookViewId="0"/>
  </sheetViews>
  <sheetFormatPr defaultRowHeight="14.5" x14ac:dyDescent="0.35"/>
  <sheetData>
    <row r="1" spans="1:6" x14ac:dyDescent="0.35">
      <c r="A1">
        <v>1</v>
      </c>
      <c r="B1" t="s">
        <v>0</v>
      </c>
      <c r="C1">
        <f>1+2*3</f>
        <v>7</v>
      </c>
      <c r="D1">
        <f t="shared" ref="D1:D5" si="0">A1*2</f>
        <v>2</v>
      </c>
      <c r="E1">
        <v>0.25</v>
      </c>
      <c r="F1">
        <f t="array" ref="F1">SUM(A1:A5*2)</f>
        <v>30</v>
      </c>
    </row>
    <row r="2" spans="1:6" x14ac:dyDescent="0.35">
      <c r="A2">
        <v>2</v>
      </c>
      <c r="B2" t="s">
        <v>1</v>
      </c>
      <c r="C2">
        <f>(1+2)*3</f>
        <v>9</v>
      </c>
      <c r="D2">
        <f t="shared" si="0"/>
        <v>4</v>
      </c>
    </row>
    <row r="3" spans="1:6" x14ac:dyDescent="0.35">
      <c r="A3">
        <v>3</v>
      </c>
      <c r="B3" t="s">
        <v>2</v>
      </c>
      <c r="C3">
        <f>1.5+2</f>
        <v>3.5</v>
      </c>
      <c r="D3">
        <f t="shared" si="0"/>
        <v>6</v>
      </c>
    </row>
    <row r="4" spans="1:6" x14ac:dyDescent="0.35">
      <c r="A4">
        <v>4</v>
      </c>
      <c r="B4" t="s">
        <v>3</v>
      </c>
      <c r="C4">
        <f>-A1</f>
        <v>-1</v>
      </c>
      <c r="D4">
        <f t="shared" si="0"/>
        <v>8</v>
      </c>
    </row>
    <row r="5" spans="1:6" x14ac:dyDescent="0.35">
      <c r="A5">
        <v>5</v>
      </c>
      <c r="B5" t="s">
        <v>4</v>
      </c>
      <c r="C5">
        <f>A1%</f>
        <v>0.01</v>
      </c>
      <c r="D5">
        <f t="shared" si="0"/>
        <v>10</v>
      </c>
    </row>
    <row r="6" spans="1:6" x14ac:dyDescent="0.35">
      <c r="B6" t="s">
        <v>5</v>
      </c>
      <c r="C6">
        <f>A2^3</f>
        <v>8</v>
      </c>
    </row>
    <row r="7" spans="1:6" x14ac:dyDescent="0.35">
      <c r="B7" t="s">
        <v>6</v>
      </c>
      <c r="C7" t="str">
        <f>A1&amp;" x"</f>
        <v>1 x</v>
      </c>
    </row>
    <row r="8" spans="1:6" x14ac:dyDescent="0.35">
      <c r="B8" t="s">
        <v>7</v>
      </c>
      <c r="C8" t="str">
        <f>"say ""hi"""</f>
        <v>say "hi"</v>
      </c>
    </row>
    <row r="9" spans="1:6" x14ac:dyDescent="0.35">
      <c r="B9" t="s">
        <v>8</v>
      </c>
      <c r="C9" t="b">
        <f>A1&lt;=A2</f>
        <v>1</v>
      </c>
    </row>
    <row r="10" spans="1:6" x14ac:dyDescent="0.35">
      <c r="B10" t="s">
        <v>9</v>
      </c>
      <c r="C10" t="b">
        <f>A1&lt;&gt;A2</f>
        <v>1</v>
      </c>
    </row>
    <row r="11" spans="1:6" x14ac:dyDescent="0.35">
      <c r="B11" t="s">
        <v>10</v>
      </c>
      <c r="C11" t="b">
        <f>TRUE</f>
        <v>1</v>
      </c>
    </row>
    <row r="12" spans="1:6" x14ac:dyDescent="0.35">
      <c r="B12" t="s">
        <v>11</v>
      </c>
      <c r="C12" t="e">
        <f>#N/A</f>
        <v>#N/A</v>
      </c>
    </row>
    <row r="13" spans="1:6" x14ac:dyDescent="0.35">
      <c r="B13" t="s">
        <v>12</v>
      </c>
      <c r="C13">
        <f>$A$1+A$2+$A3</f>
        <v>6</v>
      </c>
    </row>
    <row r="14" spans="1:6" x14ac:dyDescent="0.35">
      <c r="B14" t="s">
        <v>13</v>
      </c>
      <c r="C14">
        <f>SUM(A1:A5)</f>
        <v>15</v>
      </c>
    </row>
    <row r="15" spans="1:6" x14ac:dyDescent="0.35">
      <c r="B15" t="s">
        <v>14</v>
      </c>
      <c r="C15">
        <f>SUM(A1:A5)/COUNT(A1:A5)</f>
        <v>3</v>
      </c>
    </row>
    <row r="16" spans="1:6" x14ac:dyDescent="0.35">
      <c r="B16" t="s">
        <v>15</v>
      </c>
      <c r="C16" t="str">
        <f>IF(A1&gt;0,"pos","neg")</f>
        <v>pos</v>
      </c>
    </row>
    <row r="17" spans="2:3" x14ac:dyDescent="0.35">
      <c r="B17" t="s">
        <v>16</v>
      </c>
      <c r="C17">
        <f>SUM(A1:A2,A4)</f>
        <v>7</v>
      </c>
    </row>
    <row r="18" spans="2:3" x14ac:dyDescent="0.35">
      <c r="B18" t="s">
        <v>17</v>
      </c>
      <c r="C18">
        <f>PI()</f>
        <v>3.1415926535897931</v>
      </c>
    </row>
    <row r="19" spans="2:3" x14ac:dyDescent="0.35">
      <c r="B19" t="s">
        <v>18</v>
      </c>
      <c r="C19">
        <f>SUM(Data!A1:B2)</f>
        <v>100</v>
      </c>
    </row>
    <row r="20" spans="2:3" x14ac:dyDescent="0.35">
      <c r="B20" t="s">
        <v>19</v>
      </c>
      <c r="C20">
        <f>Data!$A$1</f>
        <v>10</v>
      </c>
    </row>
    <row r="21" spans="2:3" x14ac:dyDescent="0.35">
      <c r="B21" t="s">
        <v>20</v>
      </c>
      <c r="C21">
        <f>'Odd Name'!A1</f>
        <v>9</v>
      </c>
    </row>
    <row r="22" spans="2:3" x14ac:dyDescent="0.35">
      <c r="B22" t="s">
        <v>21</v>
      </c>
      <c r="C22">
        <f>SUM(Data:More!A1)</f>
        <v>17</v>
      </c>
    </row>
    <row r="23" spans="2:3" x14ac:dyDescent="0.35">
      <c r="B23" t="s">
        <v>22</v>
      </c>
      <c r="C23">
        <f>SUM(A:A)</f>
        <v>15</v>
      </c>
    </row>
    <row r="24" spans="2:3" x14ac:dyDescent="0.35">
      <c r="B24" t="s">
        <v>23</v>
      </c>
      <c r="C24">
        <f>SUM(Data!2:2)</f>
        <v>70</v>
      </c>
    </row>
    <row r="25" spans="2:3" x14ac:dyDescent="0.35">
      <c r="B25" t="s">
        <v>24</v>
      </c>
      <c r="C25">
        <f>Rate*A1</f>
        <v>0.25</v>
      </c>
    </row>
    <row r="26" spans="2:3" x14ac:dyDescent="0.35">
      <c r="B26" t="s">
        <v>25</v>
      </c>
      <c r="C26">
        <f>Factor*A2</f>
        <v>4</v>
      </c>
    </row>
    <row r="27" spans="2:3" x14ac:dyDescent="0.35">
      <c r="B27" t="s">
        <v>26</v>
      </c>
      <c r="C27">
        <f>Local+1</f>
        <v>2</v>
      </c>
    </row>
    <row r="28" spans="2:3" x14ac:dyDescent="0.35">
      <c r="B28" t="s">
        <v>27</v>
      </c>
      <c r="C28">
        <f>SUM(A1:A3 A2:A5)</f>
        <v>5</v>
      </c>
    </row>
    <row r="29" spans="2:3" x14ac:dyDescent="0.35">
      <c r="B29" t="s">
        <v>28</v>
      </c>
      <c r="C29" t="str">
        <f>_xlfn.TEXTJOIN(",",TRUE,A1:A3)</f>
        <v>1,2,3</v>
      </c>
    </row>
    <row r="30" spans="2:3" x14ac:dyDescent="0.35">
      <c r="B30" t="s">
        <v>29</v>
      </c>
      <c r="C30">
        <f>SUM((A1:A2,A4:A5))</f>
        <v>12</v>
      </c>
    </row>
    <row r="31" spans="2:3" x14ac:dyDescent="0.35">
      <c r="B31" t="s">
        <v>30</v>
      </c>
      <c r="C31">
        <f>SUM({1,2;3,4})</f>
        <v>10</v>
      </c>
    </row>
    <row r="32" spans="2:3" x14ac:dyDescent="0.35">
      <c r="B32" t="s">
        <v>31</v>
      </c>
      <c r="C32">
        <f>SUM({1,2,3;4,5,6})</f>
        <v>21</v>
      </c>
    </row>
    <row r="33" spans="2:3" x14ac:dyDescent="0.35">
      <c r="B33" t="s">
        <v>32</v>
      </c>
      <c r="C33">
        <f>COUNTA({"a",TRUE;#N/A,5})</f>
        <v>4</v>
      </c>
    </row>
    <row r="34" spans="2:3" x14ac:dyDescent="0.35">
      <c r="B34" t="s">
        <v>33</v>
      </c>
      <c r="C34">
        <f>IF(A1&gt;0,,1)</f>
        <v>0</v>
      </c>
    </row>
    <row r="35" spans="2:3" x14ac:dyDescent="0.35">
      <c r="B35" t="s">
        <v>34</v>
      </c>
      <c r="C35" t="e">
        <f>#REF!+1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0211-5441-46E3-8C3F-5D255D5F24D6}">
  <dimension ref="A1:B2"/>
  <sheetViews>
    <sheetView workbookViewId="0"/>
  </sheetViews>
  <sheetFormatPr defaultRowHeight="14.5" x14ac:dyDescent="0.35"/>
  <sheetData>
    <row r="1" spans="1:2" x14ac:dyDescent="0.35">
      <c r="A1">
        <v>10</v>
      </c>
      <c r="B1">
        <v>20</v>
      </c>
    </row>
    <row r="2" spans="1:2" x14ac:dyDescent="0.35">
      <c r="A2">
        <v>30</v>
      </c>
      <c r="B2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F9BB-1AB4-424E-84B4-E202A0CDE5F8}">
  <dimension ref="A1"/>
  <sheetViews>
    <sheetView workbookViewId="0"/>
  </sheetViews>
  <sheetFormatPr defaultRowHeight="14.5" x14ac:dyDescent="0.35"/>
  <sheetData>
    <row r="1" spans="1:1" x14ac:dyDescent="0.35">
      <c r="A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978D-54E9-4ABA-8E82-002C65CE0ADF}">
  <dimension ref="A1"/>
  <sheetViews>
    <sheetView workbookViewId="0"/>
  </sheetViews>
  <sheetFormatPr defaultRowHeight="14.5" x14ac:dyDescent="0.35"/>
  <sheetData>
    <row r="1" spans="1:1" x14ac:dyDescent="0.35">
      <c r="A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Calc</vt:lpstr>
      <vt:lpstr>Data</vt:lpstr>
      <vt:lpstr>More</vt:lpstr>
      <vt:lpstr>Odd Name</vt:lpstr>
      <vt:lpstr>Calc!Local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2026-07-27T19:04:59Z</dcterms:created>
  <dcterms:modified xsi:type="dcterms:W3CDTF">2026-07-27T19:04:59Z</dcterms:modified>
</cp:coreProperties>
</file>