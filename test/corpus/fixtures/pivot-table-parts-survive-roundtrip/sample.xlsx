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gwgroup.sharepoint.com/sites/EXT_Workforce-Management/Shared Documents/General/Lastenheft/"/>
    </mc:Choice>
  </mc:AlternateContent>
  <xr:revisionPtr revIDLastSave="51" documentId="8_{E35179C4-F408-439C-ADD2-253A45757C91}" xr6:coauthVersionLast="46" xr6:coauthVersionMax="46" xr10:uidLastSave="{C922C7E0-21FB-436E-A308-D0B643B25FDA}"/>
  <bookViews>
    <workbookView minimized="1" xWindow="636" yWindow="228" windowWidth="22584" windowHeight="16008" firstSheet="4" activeTab="4" xr2:uid="{EF13F9F7-C7C0-43B5-BEEB-9E42DF218168}"/>
  </bookViews>
  <sheets>
    <sheet name="Plan-Ist und Plan-Plan Grundl." sheetId="1" r:id="rId1"/>
    <sheet name="PlanIst" sheetId="2" r:id="rId2"/>
    <sheet name="PlanPlan" sheetId="3" r:id="rId3"/>
    <sheet name="MA-Daten" sheetId="4" r:id="rId4"/>
    <sheet name="An-Abwesenheiten" sheetId="5" r:id="rId5"/>
    <sheet name="Leasingkontrolle" sheetId="7" r:id="rId6"/>
  </sheets>
  <calcPr calcId="191028" calcCompleted="0"/>
  <pivotCaches>
    <pivotCache cacheId="2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6" i="4" l="1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2" i="4"/>
  <c r="M11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L11" i="3"/>
  <c r="K11" i="3"/>
  <c r="J11" i="3"/>
  <c r="I11" i="3"/>
  <c r="H11" i="3"/>
  <c r="G11" i="3"/>
  <c r="F11" i="3"/>
  <c r="E11" i="3"/>
  <c r="D11" i="3"/>
  <c r="C11" i="3"/>
  <c r="B11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B7" i="2"/>
  <c r="B8" i="2"/>
  <c r="B9" i="2"/>
  <c r="B10" i="2"/>
  <c r="B11" i="2"/>
  <c r="B12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D8" i="2"/>
  <c r="E8" i="2"/>
  <c r="F8" i="2"/>
  <c r="G8" i="2"/>
  <c r="H8" i="2"/>
  <c r="I8" i="2"/>
  <c r="J8" i="2"/>
  <c r="K8" i="2"/>
  <c r="L8" i="2"/>
  <c r="M8" i="2"/>
  <c r="D9" i="2"/>
  <c r="E9" i="2"/>
  <c r="F9" i="2"/>
  <c r="G9" i="2"/>
  <c r="H9" i="2"/>
  <c r="I9" i="2"/>
  <c r="J9" i="2"/>
  <c r="K9" i="2"/>
  <c r="L9" i="2"/>
  <c r="M9" i="2"/>
  <c r="D7" i="2"/>
  <c r="E7" i="2"/>
  <c r="F7" i="2"/>
  <c r="G7" i="2"/>
  <c r="H7" i="2"/>
  <c r="I7" i="2"/>
  <c r="J7" i="2"/>
  <c r="K7" i="2"/>
  <c r="L7" i="2"/>
  <c r="M7" i="2"/>
  <c r="C8" i="2"/>
  <c r="C9" i="2"/>
  <c r="C7" i="2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A15" i="2" l="1"/>
  <c r="S15" i="2"/>
  <c r="AC15" i="2"/>
  <c r="AF15" i="2"/>
  <c r="Z13" i="2"/>
  <c r="R13" i="2"/>
  <c r="AB14" i="3"/>
  <c r="E15" i="3"/>
  <c r="M15" i="3"/>
  <c r="U15" i="3"/>
  <c r="AC15" i="3"/>
  <c r="F16" i="3"/>
  <c r="AD16" i="3"/>
  <c r="X15" i="2"/>
  <c r="P15" i="2"/>
  <c r="H15" i="2"/>
  <c r="F14" i="2"/>
  <c r="AB13" i="2"/>
  <c r="T13" i="2"/>
  <c r="Y15" i="2"/>
  <c r="Q15" i="2"/>
  <c r="I15" i="2"/>
  <c r="AC13" i="2"/>
  <c r="U13" i="2"/>
  <c r="M13" i="2"/>
  <c r="N14" i="2"/>
  <c r="AD14" i="2"/>
  <c r="U15" i="2"/>
  <c r="Y13" i="2"/>
  <c r="Q13" i="2"/>
  <c r="V14" i="2"/>
  <c r="AD15" i="2"/>
  <c r="V15" i="2"/>
  <c r="N15" i="2"/>
  <c r="AB14" i="2"/>
  <c r="T14" i="2"/>
  <c r="L14" i="2"/>
  <c r="D14" i="2"/>
  <c r="J13" i="2"/>
  <c r="K14" i="2"/>
  <c r="AA14" i="2"/>
  <c r="S14" i="2"/>
  <c r="I13" i="2"/>
  <c r="L13" i="2"/>
  <c r="D13" i="2"/>
  <c r="B13" i="2"/>
  <c r="G14" i="2"/>
  <c r="AE14" i="2"/>
  <c r="O14" i="2"/>
  <c r="K15" i="2"/>
  <c r="Y14" i="2"/>
  <c r="I14" i="2"/>
  <c r="W13" i="2"/>
  <c r="G13" i="2"/>
  <c r="W14" i="2"/>
  <c r="C15" i="2"/>
  <c r="Q14" i="2"/>
  <c r="AE13" i="2"/>
  <c r="O13" i="2"/>
  <c r="Z15" i="2"/>
  <c r="R15" i="2"/>
  <c r="J15" i="2"/>
  <c r="AF14" i="2"/>
  <c r="X14" i="2"/>
  <c r="P14" i="2"/>
  <c r="H14" i="2"/>
  <c r="AD13" i="2"/>
  <c r="V13" i="2"/>
  <c r="N13" i="2"/>
  <c r="F13" i="2"/>
  <c r="F15" i="3"/>
  <c r="N15" i="3"/>
  <c r="V15" i="3"/>
  <c r="AD15" i="3"/>
  <c r="G16" i="3"/>
  <c r="O16" i="3"/>
  <c r="W16" i="3"/>
  <c r="AE16" i="3"/>
  <c r="E13" i="2"/>
  <c r="AE15" i="2"/>
  <c r="W15" i="2"/>
  <c r="O15" i="2"/>
  <c r="G15" i="2"/>
  <c r="AC14" i="2"/>
  <c r="U14" i="2"/>
  <c r="M14" i="2"/>
  <c r="E14" i="2"/>
  <c r="AA13" i="2"/>
  <c r="S13" i="2"/>
  <c r="K13" i="2"/>
  <c r="C13" i="2"/>
  <c r="M15" i="2"/>
  <c r="E15" i="2"/>
  <c r="C14" i="2"/>
  <c r="F15" i="2"/>
  <c r="AB15" i="2"/>
  <c r="T15" i="2"/>
  <c r="L15" i="2"/>
  <c r="D15" i="2"/>
  <c r="Z14" i="2"/>
  <c r="R14" i="2"/>
  <c r="J14" i="2"/>
  <c r="AF13" i="2"/>
  <c r="X13" i="2"/>
  <c r="P13" i="2"/>
  <c r="H13" i="2"/>
  <c r="P16" i="3"/>
  <c r="J14" i="3"/>
  <c r="X16" i="3"/>
  <c r="H16" i="3"/>
  <c r="B15" i="2"/>
  <c r="AF16" i="3"/>
  <c r="B14" i="2"/>
  <c r="V16" i="3"/>
  <c r="N16" i="3"/>
  <c r="I15" i="3"/>
  <c r="Q15" i="3"/>
  <c r="Y15" i="3"/>
  <c r="J16" i="3"/>
  <c r="R16" i="3"/>
  <c r="Z16" i="3"/>
  <c r="I14" i="3"/>
  <c r="Q14" i="3"/>
  <c r="Y14" i="3"/>
  <c r="J15" i="3"/>
  <c r="R15" i="3"/>
  <c r="Z15" i="3"/>
  <c r="C16" i="3"/>
  <c r="K16" i="3"/>
  <c r="S16" i="3"/>
  <c r="AA16" i="3"/>
  <c r="R14" i="3"/>
  <c r="Z14" i="3"/>
  <c r="C15" i="3"/>
  <c r="K15" i="3"/>
  <c r="S15" i="3"/>
  <c r="AA15" i="3"/>
  <c r="D16" i="3"/>
  <c r="L16" i="3"/>
  <c r="T16" i="3"/>
  <c r="AB16" i="3"/>
  <c r="P14" i="3"/>
  <c r="X14" i="3"/>
  <c r="AF14" i="3"/>
  <c r="B16" i="3"/>
  <c r="C14" i="3"/>
  <c r="K14" i="3"/>
  <c r="S14" i="3"/>
  <c r="AA14" i="3"/>
  <c r="D15" i="3"/>
  <c r="L15" i="3"/>
  <c r="T15" i="3"/>
  <c r="AB15" i="3"/>
  <c r="E16" i="3"/>
  <c r="M16" i="3"/>
  <c r="U16" i="3"/>
  <c r="AC16" i="3"/>
  <c r="H14" i="3"/>
  <c r="D14" i="3"/>
  <c r="L14" i="3"/>
  <c r="T14" i="3"/>
  <c r="E14" i="3"/>
  <c r="M14" i="3"/>
  <c r="U14" i="3"/>
  <c r="AC14" i="3"/>
  <c r="F14" i="3"/>
  <c r="N14" i="3"/>
  <c r="V14" i="3"/>
  <c r="AD14" i="3"/>
  <c r="G15" i="3"/>
  <c r="O15" i="3"/>
  <c r="W15" i="3"/>
  <c r="AE15" i="3"/>
  <c r="G14" i="3"/>
  <c r="O14" i="3"/>
  <c r="W14" i="3"/>
  <c r="AE14" i="3"/>
  <c r="H15" i="3"/>
  <c r="P15" i="3"/>
  <c r="X15" i="3"/>
  <c r="AF15" i="3"/>
  <c r="I16" i="3"/>
  <c r="Q16" i="3"/>
  <c r="Y16" i="3"/>
  <c r="B15" i="3"/>
  <c r="B14" i="3"/>
  <c r="BI17" i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AG17" i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B17" i="1"/>
  <c r="BI10" i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AG10" i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10" i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BJ3" i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BI3" i="1"/>
  <c r="AH3" i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AG3" i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</calcChain>
</file>

<file path=xl/sharedStrings.xml><?xml version="1.0" encoding="utf-8"?>
<sst xmlns="http://schemas.openxmlformats.org/spreadsheetml/2006/main" count="1068" uniqueCount="89">
  <si>
    <t>Jänner</t>
  </si>
  <si>
    <t>Februar</t>
  </si>
  <si>
    <t>März</t>
  </si>
  <si>
    <t>KW</t>
  </si>
  <si>
    <t>Retouren</t>
  </si>
  <si>
    <t xml:space="preserve">Geplante Kapa </t>
  </si>
  <si>
    <t>33 FTEs</t>
  </si>
  <si>
    <t>Geplante Leistung</t>
  </si>
  <si>
    <t xml:space="preserve">Kapa </t>
  </si>
  <si>
    <r>
      <rPr>
        <b/>
        <sz val="10"/>
        <color rgb="FFC00000"/>
        <rFont val="Calibri"/>
        <family val="2"/>
        <scheme val="minor"/>
      </rPr>
      <t>35</t>
    </r>
    <r>
      <rPr>
        <b/>
        <sz val="10"/>
        <color theme="1"/>
        <rFont val="Calibri"/>
        <family val="2"/>
        <scheme val="minor"/>
      </rPr>
      <t xml:space="preserve"> FTEs</t>
    </r>
  </si>
  <si>
    <t>Leistung</t>
  </si>
  <si>
    <t>34 FTEs</t>
  </si>
  <si>
    <t>Compare "Target/Actual", Returned Goods, Actual Data up to 31.1., as seen from planning date 1.1.</t>
  </si>
  <si>
    <t>January</t>
  </si>
  <si>
    <t>February</t>
  </si>
  <si>
    <t>Calendar Week</t>
  </si>
  <si>
    <t>P-Date 1.1.</t>
  </si>
  <si>
    <t>Today</t>
  </si>
  <si>
    <t>Planned Capacity (FTE)</t>
  </si>
  <si>
    <t>Planned Return Ratio</t>
  </si>
  <si>
    <t>Planned Performance(R/Day)</t>
  </si>
  <si>
    <t>Real Capacity (FTE)</t>
  </si>
  <si>
    <t>Actual Return Ratio</t>
  </si>
  <si>
    <t>Actual Performance</t>
  </si>
  <si>
    <t>Capacity-Deviation</t>
  </si>
  <si>
    <t>Return-Ratio-Deviation</t>
  </si>
  <si>
    <t>Performance-Deviation</t>
  </si>
  <si>
    <t>Vergleich "Plan/Plan" Retouren, Echtdaten bis 11.1., Plandaten ab 12.1, Planungsstichtag 1.1.</t>
  </si>
  <si>
    <t>P-Stichtag</t>
  </si>
  <si>
    <t>Heute neuer Planungssticht.</t>
  </si>
  <si>
    <t>Geplante Kapa (FTE)</t>
  </si>
  <si>
    <t>Geplante Retourenquote</t>
  </si>
  <si>
    <t>Geplante Leistung (R/Tag)</t>
  </si>
  <si>
    <t>Ab heute nur Planungsdaten</t>
  </si>
  <si>
    <t>Kapa (FTE)</t>
  </si>
  <si>
    <t>Retourenquote</t>
  </si>
  <si>
    <t>Leistung (R/Tag)</t>
  </si>
  <si>
    <t>Diff Kapa</t>
  </si>
  <si>
    <t>Diff Retourenquote</t>
  </si>
  <si>
    <t>Diff Leistung</t>
  </si>
  <si>
    <t>MA</t>
  </si>
  <si>
    <t>Tag</t>
  </si>
  <si>
    <t>Monat</t>
  </si>
  <si>
    <t>Schichtzyklus</t>
  </si>
  <si>
    <t>Stunden</t>
  </si>
  <si>
    <t>Firma</t>
  </si>
  <si>
    <t>Urlaub</t>
  </si>
  <si>
    <t>Mayr</t>
  </si>
  <si>
    <t>5T-Früh</t>
  </si>
  <si>
    <t>TGW</t>
  </si>
  <si>
    <t>n</t>
  </si>
  <si>
    <t>j</t>
  </si>
  <si>
    <t>ZA</t>
  </si>
  <si>
    <t>Eckberger</t>
  </si>
  <si>
    <t>Hallo</t>
  </si>
  <si>
    <t>Wadlberger</t>
  </si>
  <si>
    <t>Smith</t>
  </si>
  <si>
    <t>ACME</t>
  </si>
  <si>
    <t>Presence/Absence</t>
  </si>
  <si>
    <t>Hours</t>
  </si>
  <si>
    <t/>
  </si>
  <si>
    <t>January Sum</t>
  </si>
  <si>
    <t>February Sum</t>
  </si>
  <si>
    <t>Total</t>
  </si>
  <si>
    <t>CW53</t>
  </si>
  <si>
    <t>Summe</t>
  </si>
  <si>
    <t>CW1</t>
  </si>
  <si>
    <t>CW2</t>
  </si>
  <si>
    <t>CW3</t>
  </si>
  <si>
    <t>CW4</t>
  </si>
  <si>
    <t>CW5</t>
  </si>
  <si>
    <t>CW6</t>
  </si>
  <si>
    <t>CW7</t>
  </si>
  <si>
    <t>CW8</t>
  </si>
  <si>
    <t>Employee</t>
  </si>
  <si>
    <t>01</t>
  </si>
  <si>
    <t>02</t>
  </si>
  <si>
    <t>03</t>
  </si>
  <si>
    <t>Check Staff-Agency-Hours</t>
  </si>
  <si>
    <t>Company</t>
  </si>
  <si>
    <t>KW53</t>
  </si>
  <si>
    <t>KW1</t>
  </si>
  <si>
    <t>KW2</t>
  </si>
  <si>
    <t>KW3</t>
  </si>
  <si>
    <t>KW4</t>
  </si>
  <si>
    <t>KW5</t>
  </si>
  <si>
    <t>KW6</t>
  </si>
  <si>
    <t>KW7</t>
  </si>
  <si>
    <t>KW8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</si>
</sst>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 tint="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 tint="0.14999847407452621"/>
      <name val="Calibri"/>
      <family val="2"/>
      <scheme val="minor"/>
    </font>
    <font>
      <sz val="20"/>
      <color theme="1" tint="0.14999847407452621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ck">
        <color theme="2" tint="-0.24994659260841701"/>
      </left>
      <right/>
      <top/>
      <bottom/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/>
      <right/>
      <top style="thick">
        <color theme="2" tint="-0.24994659260841701"/>
      </top>
      <bottom/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/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 style="thick">
        <color theme="2" tint="-0.24994659260841701"/>
      </left>
      <right/>
      <top style="thin">
        <color theme="2" tint="-0.24994659260841701"/>
      </top>
      <bottom/>
      <diagonal/>
    </border>
    <border>
      <left/>
      <right style="thick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ck">
        <color theme="0"/>
      </bottom>
      <diagonal/>
    </border>
    <border>
      <left/>
      <right/>
      <top style="thick">
        <color theme="2" tint="-0.24994659260841701"/>
      </top>
      <bottom style="thick">
        <color theme="0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 style="thick">
        <color theme="0"/>
      </bottom>
      <diagonal/>
    </border>
    <border>
      <left style="thick">
        <color theme="2" tint="-0.24994659260841701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2" tint="-0.24994659260841701"/>
      </right>
      <top style="thick">
        <color theme="0"/>
      </top>
      <bottom style="thick">
        <color theme="0"/>
      </bottom>
      <diagonal/>
    </border>
    <border>
      <left style="thick">
        <color theme="2" tint="-0.24994659260841701"/>
      </left>
      <right/>
      <top style="thick">
        <color theme="0"/>
      </top>
      <bottom style="thick">
        <color theme="2" tint="-0.24994659260841701"/>
      </bottom>
      <diagonal/>
    </border>
    <border>
      <left/>
      <right/>
      <top style="thick">
        <color theme="0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ck">
        <color theme="0"/>
      </top>
      <bottom style="thick">
        <color theme="2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 style="thick">
        <color theme="2" tint="-0.24994659260841701"/>
      </right>
      <top/>
      <bottom/>
      <diagonal/>
    </border>
    <border>
      <left style="thick">
        <color theme="2" tint="-0.24994659260841701"/>
      </left>
      <right style="thick">
        <color theme="2" tint="-0.24994659260841701"/>
      </right>
      <top/>
      <bottom style="thick">
        <color theme="2" tint="-0.24994659260841701"/>
      </bottom>
      <diagonal/>
    </border>
    <border>
      <left style="medium">
        <color theme="4" tint="0.79998168889431442"/>
      </left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3" borderId="1" xfId="0" applyFont="1" applyFill="1" applyBorder="1"/>
    <xf numFmtId="0" fontId="5" fillId="0" borderId="0" xfId="0" applyFont="1"/>
    <xf numFmtId="0" fontId="5" fillId="0" borderId="0" xfId="0" applyFont="1" applyBorder="1"/>
    <xf numFmtId="0" fontId="0" fillId="0" borderId="3" xfId="0" applyBorder="1"/>
    <xf numFmtId="0" fontId="0" fillId="0" borderId="4" xfId="0" applyBorder="1"/>
    <xf numFmtId="0" fontId="5" fillId="0" borderId="1" xfId="0" applyFont="1" applyBorder="1"/>
    <xf numFmtId="0" fontId="5" fillId="0" borderId="5" xfId="0" applyFont="1" applyBorder="1"/>
    <xf numFmtId="0" fontId="3" fillId="3" borderId="0" xfId="0" applyFont="1" applyFill="1" applyBorder="1"/>
    <xf numFmtId="0" fontId="2" fillId="0" borderId="5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6" fillId="0" borderId="1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8" fillId="4" borderId="1" xfId="0" applyFont="1" applyFill="1" applyBorder="1"/>
    <xf numFmtId="0" fontId="9" fillId="2" borderId="0" xfId="0" applyFont="1" applyFill="1" applyBorder="1"/>
    <xf numFmtId="0" fontId="9" fillId="2" borderId="1" xfId="0" applyFont="1" applyFill="1" applyBorder="1"/>
    <xf numFmtId="0" fontId="2" fillId="0" borderId="0" xfId="0" applyFont="1" applyFill="1" applyBorder="1"/>
    <xf numFmtId="0" fontId="16" fillId="5" borderId="0" xfId="0" applyFont="1" applyFill="1" applyAlignment="1">
      <alignment vertical="center"/>
    </xf>
    <xf numFmtId="0" fontId="17" fillId="0" borderId="0" xfId="0" applyFont="1"/>
    <xf numFmtId="0" fontId="16" fillId="6" borderId="3" xfId="0" applyFont="1" applyFill="1" applyBorder="1" applyAlignment="1">
      <alignment vertical="center"/>
    </xf>
    <xf numFmtId="0" fontId="19" fillId="0" borderId="0" xfId="0" applyFont="1" applyBorder="1" applyAlignment="1">
      <alignment horizontal="right"/>
    </xf>
    <xf numFmtId="0" fontId="15" fillId="3" borderId="23" xfId="0" applyFont="1" applyFill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0" borderId="23" xfId="0" applyFont="1" applyBorder="1"/>
    <xf numFmtId="0" fontId="17" fillId="0" borderId="0" xfId="0" applyFont="1" applyBorder="1" applyAlignment="1">
      <alignment horizontal="right"/>
    </xf>
    <xf numFmtId="9" fontId="17" fillId="0" borderId="0" xfId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14" xfId="0" applyFont="1" applyBorder="1" applyAlignment="1">
      <alignment horizontal="right"/>
    </xf>
    <xf numFmtId="0" fontId="17" fillId="0" borderId="20" xfId="0" applyFont="1" applyBorder="1" applyAlignment="1">
      <alignment horizontal="right"/>
    </xf>
    <xf numFmtId="0" fontId="17" fillId="0" borderId="24" xfId="0" applyFont="1" applyBorder="1"/>
    <xf numFmtId="0" fontId="22" fillId="5" borderId="0" xfId="0" applyFont="1" applyFill="1" applyAlignment="1">
      <alignment vertical="center"/>
    </xf>
    <xf numFmtId="0" fontId="23" fillId="5" borderId="0" xfId="0" applyFont="1" applyFill="1" applyAlignment="1">
      <alignment vertical="center"/>
    </xf>
    <xf numFmtId="0" fontId="24" fillId="0" borderId="0" xfId="0" applyFont="1"/>
    <xf numFmtId="0" fontId="25" fillId="0" borderId="1" xfId="0" applyFont="1" applyBorder="1"/>
    <xf numFmtId="0" fontId="21" fillId="0" borderId="1" xfId="0" applyFont="1" applyFill="1" applyBorder="1"/>
    <xf numFmtId="0" fontId="26" fillId="0" borderId="10" xfId="0" applyFont="1" applyBorder="1"/>
    <xf numFmtId="0" fontId="26" fillId="0" borderId="1" xfId="0" applyFont="1" applyBorder="1"/>
    <xf numFmtId="0" fontId="26" fillId="0" borderId="6" xfId="0" applyFont="1" applyBorder="1" applyAlignment="1">
      <alignment wrapText="1"/>
    </xf>
    <xf numFmtId="0" fontId="26" fillId="0" borderId="6" xfId="0" applyFont="1" applyBorder="1"/>
    <xf numFmtId="0" fontId="26" fillId="0" borderId="13" xfId="0" applyFont="1" applyFill="1" applyBorder="1"/>
    <xf numFmtId="0" fontId="26" fillId="0" borderId="16" xfId="0" applyFont="1" applyFill="1" applyBorder="1"/>
    <xf numFmtId="0" fontId="26" fillId="0" borderId="19" xfId="0" applyFont="1" applyFill="1" applyBorder="1"/>
    <xf numFmtId="0" fontId="27" fillId="0" borderId="23" xfId="0" applyFont="1" applyFill="1" applyBorder="1" applyAlignment="1">
      <alignment horizontal="right"/>
    </xf>
    <xf numFmtId="0" fontId="16" fillId="5" borderId="5" xfId="0" applyFont="1" applyFill="1" applyBorder="1" applyAlignment="1">
      <alignment vertical="center"/>
    </xf>
    <xf numFmtId="0" fontId="17" fillId="0" borderId="5" xfId="0" applyFont="1" applyBorder="1"/>
    <xf numFmtId="0" fontId="16" fillId="6" borderId="4" xfId="0" applyFont="1" applyFill="1" applyBorder="1" applyAlignment="1">
      <alignment vertical="center"/>
    </xf>
    <xf numFmtId="0" fontId="17" fillId="0" borderId="15" xfId="0" applyFont="1" applyBorder="1" applyAlignment="1">
      <alignment horizontal="right"/>
    </xf>
    <xf numFmtId="0" fontId="17" fillId="0" borderId="21" xfId="0" applyFont="1" applyBorder="1" applyAlignment="1">
      <alignment horizontal="right"/>
    </xf>
    <xf numFmtId="9" fontId="17" fillId="0" borderId="17" xfId="0" applyNumberFormat="1" applyFont="1" applyBorder="1" applyAlignment="1">
      <alignment horizontal="right"/>
    </xf>
    <xf numFmtId="9" fontId="17" fillId="0" borderId="18" xfId="0" applyNumberFormat="1" applyFont="1" applyBorder="1" applyAlignment="1">
      <alignment horizontal="right"/>
    </xf>
    <xf numFmtId="9" fontId="17" fillId="0" borderId="17" xfId="1" applyFont="1" applyBorder="1" applyAlignment="1">
      <alignment horizontal="right"/>
    </xf>
    <xf numFmtId="0" fontId="0" fillId="7" borderId="1" xfId="0" applyFill="1" applyBorder="1"/>
    <xf numFmtId="0" fontId="0" fillId="7" borderId="6" xfId="0" applyFill="1" applyBorder="1"/>
    <xf numFmtId="0" fontId="17" fillId="0" borderId="13" xfId="0" applyFont="1" applyBorder="1" applyAlignment="1">
      <alignment horizontal="right"/>
    </xf>
    <xf numFmtId="9" fontId="17" fillId="0" borderId="16" xfId="0" applyNumberFormat="1" applyFont="1" applyBorder="1" applyAlignment="1">
      <alignment horizontal="right"/>
    </xf>
    <xf numFmtId="0" fontId="17" fillId="0" borderId="19" xfId="0" applyFont="1" applyBorder="1" applyAlignment="1">
      <alignment horizontal="right"/>
    </xf>
    <xf numFmtId="0" fontId="18" fillId="8" borderId="5" xfId="0" applyFont="1" applyFill="1" applyBorder="1" applyAlignment="1">
      <alignment horizontal="right"/>
    </xf>
    <xf numFmtId="0" fontId="19" fillId="8" borderId="0" xfId="0" applyFont="1" applyFill="1" applyBorder="1" applyAlignment="1">
      <alignment horizontal="right"/>
    </xf>
    <xf numFmtId="0" fontId="19" fillId="8" borderId="5" xfId="0" applyFont="1" applyFill="1" applyBorder="1" applyAlignment="1">
      <alignment horizontal="right"/>
    </xf>
    <xf numFmtId="0" fontId="15" fillId="9" borderId="23" xfId="0" applyFont="1" applyFill="1" applyBorder="1" applyAlignment="1">
      <alignment horizontal="right"/>
    </xf>
    <xf numFmtId="0" fontId="28" fillId="0" borderId="10" xfId="0" applyFont="1" applyFill="1" applyBorder="1" applyAlignment="1">
      <alignment horizontal="right"/>
    </xf>
    <xf numFmtId="0" fontId="28" fillId="0" borderId="9" xfId="0" applyFont="1" applyFill="1" applyBorder="1" applyAlignment="1">
      <alignment horizontal="right"/>
    </xf>
    <xf numFmtId="0" fontId="28" fillId="0" borderId="11" xfId="0" applyFont="1" applyFill="1" applyBorder="1" applyAlignment="1">
      <alignment horizontal="right"/>
    </xf>
    <xf numFmtId="0" fontId="16" fillId="10" borderId="0" xfId="0" applyFont="1" applyFill="1" applyBorder="1" applyAlignment="1">
      <alignment horizontal="right"/>
    </xf>
    <xf numFmtId="0" fontId="16" fillId="10" borderId="1" xfId="0" applyFont="1" applyFill="1" applyBorder="1" applyAlignment="1">
      <alignment horizontal="right"/>
    </xf>
    <xf numFmtId="0" fontId="16" fillId="10" borderId="5" xfId="0" applyFont="1" applyFill="1" applyBorder="1" applyAlignment="1">
      <alignment horizontal="right"/>
    </xf>
    <xf numFmtId="9" fontId="16" fillId="10" borderId="0" xfId="1" applyFont="1" applyFill="1" applyBorder="1" applyAlignment="1">
      <alignment horizontal="right"/>
    </xf>
    <xf numFmtId="9" fontId="16" fillId="10" borderId="1" xfId="1" applyFont="1" applyFill="1" applyBorder="1" applyAlignment="1">
      <alignment horizontal="right"/>
    </xf>
    <xf numFmtId="9" fontId="16" fillId="10" borderId="5" xfId="1" applyFont="1" applyFill="1" applyBorder="1" applyAlignment="1">
      <alignment horizontal="right"/>
    </xf>
    <xf numFmtId="0" fontId="16" fillId="10" borderId="7" xfId="0" applyFont="1" applyFill="1" applyBorder="1" applyAlignment="1">
      <alignment horizontal="right"/>
    </xf>
    <xf numFmtId="0" fontId="16" fillId="10" borderId="6" xfId="0" applyFont="1" applyFill="1" applyBorder="1" applyAlignment="1">
      <alignment horizontal="right"/>
    </xf>
    <xf numFmtId="0" fontId="16" fillId="10" borderId="8" xfId="0" applyFont="1" applyFill="1" applyBorder="1" applyAlignment="1">
      <alignment horizontal="right"/>
    </xf>
    <xf numFmtId="0" fontId="15" fillId="10" borderId="12" xfId="0" applyFont="1" applyFill="1" applyBorder="1" applyAlignment="1">
      <alignment horizontal="right"/>
    </xf>
    <xf numFmtId="0" fontId="16" fillId="3" borderId="1" xfId="0" applyFont="1" applyFill="1" applyBorder="1" applyAlignment="1">
      <alignment horizontal="right"/>
    </xf>
    <xf numFmtId="0" fontId="16" fillId="3" borderId="0" xfId="0" applyFont="1" applyFill="1" applyBorder="1" applyAlignment="1">
      <alignment horizontal="right"/>
    </xf>
    <xf numFmtId="0" fontId="16" fillId="3" borderId="5" xfId="0" applyFont="1" applyFill="1" applyBorder="1" applyAlignment="1">
      <alignment horizontal="right"/>
    </xf>
    <xf numFmtId="9" fontId="16" fillId="3" borderId="1" xfId="1" applyFont="1" applyFill="1" applyBorder="1" applyAlignment="1">
      <alignment horizontal="right"/>
    </xf>
    <xf numFmtId="9" fontId="16" fillId="3" borderId="0" xfId="1" applyFont="1" applyFill="1" applyBorder="1" applyAlignment="1">
      <alignment horizontal="right"/>
    </xf>
    <xf numFmtId="9" fontId="16" fillId="3" borderId="5" xfId="1" applyFont="1" applyFill="1" applyBorder="1" applyAlignment="1">
      <alignment horizontal="right"/>
    </xf>
    <xf numFmtId="0" fontId="16" fillId="3" borderId="6" xfId="0" applyFont="1" applyFill="1" applyBorder="1" applyAlignment="1">
      <alignment horizontal="right"/>
    </xf>
    <xf numFmtId="0" fontId="16" fillId="3" borderId="7" xfId="0" applyFont="1" applyFill="1" applyBorder="1" applyAlignment="1">
      <alignment horizontal="right"/>
    </xf>
    <xf numFmtId="0" fontId="16" fillId="3" borderId="8" xfId="0" applyFont="1" applyFill="1" applyBorder="1" applyAlignment="1">
      <alignment horizontal="right"/>
    </xf>
    <xf numFmtId="0" fontId="20" fillId="10" borderId="9" xfId="0" applyFont="1" applyFill="1" applyBorder="1" applyAlignment="1">
      <alignment horizontal="right"/>
    </xf>
    <xf numFmtId="0" fontId="26" fillId="0" borderId="1" xfId="0" applyFont="1" applyBorder="1" applyAlignment="1">
      <alignment wrapText="1"/>
    </xf>
    <xf numFmtId="0" fontId="16" fillId="0" borderId="0" xfId="0" applyFont="1" applyFill="1" applyBorder="1" applyAlignment="1">
      <alignment horizontal="right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14" fillId="11" borderId="0" xfId="0" applyFont="1" applyFill="1" applyAlignment="1">
      <alignment vertical="center"/>
    </xf>
    <xf numFmtId="0" fontId="13" fillId="11" borderId="0" xfId="0" applyFont="1" applyFill="1"/>
    <xf numFmtId="0" fontId="13" fillId="0" borderId="0" xfId="0" applyFont="1" applyFill="1"/>
    <xf numFmtId="0" fontId="21" fillId="6" borderId="22" xfId="0" applyFont="1" applyFill="1" applyBorder="1" applyAlignment="1">
      <alignment horizontal="right" vertical="center"/>
    </xf>
    <xf numFmtId="0" fontId="0" fillId="0" borderId="25" xfId="0" applyBorder="1"/>
    <xf numFmtId="0" fontId="0" fillId="0" borderId="25" xfId="0" applyNumberFormat="1" applyBorder="1"/>
    <xf numFmtId="0" fontId="0" fillId="12" borderId="0" xfId="0" applyFill="1"/>
    <xf numFmtId="0" fontId="18" fillId="0" borderId="0" xfId="0" applyFont="1" applyBorder="1" applyAlignment="1">
      <alignment horizontal="right"/>
    </xf>
    <xf numFmtId="0" fontId="18" fillId="8" borderId="0" xfId="0" applyFont="1" applyFill="1" applyBorder="1" applyAlignment="1">
      <alignment horizontal="right"/>
    </xf>
    <xf numFmtId="0" fontId="4" fillId="0" borderId="2" xfId="0" applyFont="1" applyBorder="1" applyAlignment="1"/>
    <xf numFmtId="0" fontId="4" fillId="0" borderId="3" xfId="0" applyFont="1" applyBorder="1" applyAlignment="1"/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3" fontId="7" fillId="0" borderId="7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3" fontId="10" fillId="0" borderId="7" xfId="0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3" fontId="11" fillId="0" borderId="7" xfId="0" applyNumberFormat="1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9" fillId="6" borderId="2" xfId="0" applyFont="1" applyFill="1" applyBorder="1" applyAlignment="1">
      <alignment vertical="center"/>
    </xf>
    <xf numFmtId="0" fontId="29" fillId="6" borderId="3" xfId="0" applyFont="1" applyFill="1" applyBorder="1" applyAlignment="1">
      <alignment vertical="center"/>
    </xf>
    <xf numFmtId="0" fontId="18" fillId="0" borderId="0" xfId="0" applyFont="1" applyBorder="1" applyAlignment="1">
      <alignment horizontal="right"/>
    </xf>
    <xf numFmtId="0" fontId="18" fillId="8" borderId="0" xfId="0" applyFont="1" applyFill="1" applyBorder="1" applyAlignment="1">
      <alignment horizontal="right"/>
    </xf>
    <xf numFmtId="0" fontId="25" fillId="8" borderId="1" xfId="0" applyFont="1" applyFill="1" applyBorder="1" applyAlignment="1">
      <alignment horizontal="left"/>
    </xf>
    <xf numFmtId="0" fontId="25" fillId="8" borderId="0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15" fillId="3" borderId="3" xfId="0" applyFont="1" applyFill="1" applyBorder="1" applyAlignment="1">
      <alignment horizontal="left"/>
    </xf>
    <xf numFmtId="0" fontId="22" fillId="6" borderId="2" xfId="0" applyFont="1" applyFill="1" applyBorder="1" applyAlignment="1">
      <alignment vertical="center"/>
    </xf>
    <xf numFmtId="0" fontId="22" fillId="6" borderId="3" xfId="0" applyFont="1" applyFill="1" applyBorder="1" applyAlignment="1">
      <alignment vertical="center"/>
    </xf>
  </cellXfs>
  <cellStyles count="2">
    <cellStyle name="Prozent" xfId="1" builtinId="5"/>
    <cellStyle name="Standard" xfId="0" builtinId="0"/>
  </cellStyles>
  <dxfs count="24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medium">
          <color theme="4" tint="0.79998168889431442"/>
        </left>
      </border>
    </dxf>
    <dxf>
      <border>
        <left style="medium">
          <color theme="4" tint="0.79998168889431442"/>
        </left>
      </border>
    </dxf>
    <dxf>
      <border>
        <left style="medium">
          <color theme="4" tint="0.79998168889431442"/>
        </left>
      </border>
    </dxf>
    <dxf>
      <border>
        <left style="medium">
          <color theme="4" tint="0.79998168889431442"/>
        </left>
      </border>
    </dxf>
    <dxf>
      <font>
        <color theme="0"/>
      </font>
      <fill>
        <patternFill patternType="solid">
          <fgColor theme="4" tint="-0.499984740745262"/>
          <bgColor theme="4" tint="-0.499984740745262"/>
        </patternFill>
      </fill>
      <border>
        <horizontal style="thin">
          <color theme="4" tint="-0.499984740745262"/>
        </horizontal>
      </border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  <border>
        <horizontal style="thin">
          <color theme="4" tint="-0.499984740745262"/>
        </horizontal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border>
        <bottom style="thin">
          <color theme="4" tint="0.79998168889431442"/>
        </bottom>
      </border>
    </dxf>
    <dxf>
      <border>
        <left style="thick">
          <color rgb="FFFF0000"/>
        </left>
        <right style="thin">
          <color theme="4" tint="0.79998168889431442"/>
        </right>
      </border>
    </dxf>
    <dxf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  <border>
        <bottom style="thin">
          <color theme="4"/>
        </bottom>
        <horizontal style="thin">
          <color theme="4" tint="-0.499984740745262"/>
        </horizontal>
      </border>
    </dxf>
    <dxf>
      <font>
        <color theme="1"/>
      </font>
      <fill>
        <patternFill patternType="solid">
          <fgColor theme="4" tint="0.59999389629810485"/>
          <bgColor theme="4" tint="0.59999389629810485"/>
        </patternFill>
      </fill>
      <border>
        <horizontal style="thin">
          <color theme="4" tint="0.79998168889431442"/>
        </horizontal>
      </border>
    </dxf>
  </dxfs>
  <tableStyles count="1" defaultTableStyle="TableStyleMedium2" defaultPivotStyle="PivotStyleLight16">
    <tableStyle name="TMA" table="0" count="10" xr9:uid="{6DDE0852-C1A1-4CD9-9CEE-D4D47FE475E5}">
      <tableStyleElement type="wholeTable" dxfId="23"/>
      <tableStyleElement type="headerRow" dxfId="22"/>
      <tableStyleElement type="totalRow" dxfId="21"/>
      <tableStyleElement type="secondRowStripe" dxfId="20"/>
      <tableStyleElement type="secondColumnStripe" size="7" dxfId="19"/>
      <tableStyleElement type="first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2400"/>
              <a:t>Capacity-Deviation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37505123650771"/>
          <c:y val="0.30802584803114919"/>
          <c:w val="0.84040860428724007"/>
          <c:h val="0.606259901315103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PlanIst!$B$13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8-4807-A395-02075C57C61D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PlanIst!$C$13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8-4807-A395-02075C57C61D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PlanIst!$D$13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A8-4807-A395-02075C57C61D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PlanIst!$E$13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A8-4807-A395-02075C57C61D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PlanIst!$F$13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A8-4807-A395-02075C57C61D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PlanIst!$G$13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A8-4807-A395-02075C57C61D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PlanIst!$H$13</c:f>
              <c:numCache>
                <c:formatCode>General</c:formatCode>
                <c:ptCount val="1"/>
                <c:pt idx="0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A8-4807-A395-02075C57C61D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PlanIst!$I$13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A8-4807-A395-02075C57C61D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PlanIst!$J$13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A8-4807-A395-02075C57C61D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PlanIst!$K$13</c:f>
              <c:numCache>
                <c:formatCode>General</c:formatCode>
                <c:ptCount val="1"/>
                <c:pt idx="0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A8-4807-A395-02075C57C61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PlanIst!$L$13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A8-4807-A395-02075C57C61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PlanIst!$M$13</c:f>
              <c:numCache>
                <c:formatCode>General</c:formatCode>
                <c:ptCount val="1"/>
                <c:pt idx="0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A8-4807-A395-02075C57C61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PlanIst!$N$13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A8-4807-A395-02075C57C61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PlanIst!$O$13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A8-4807-A395-02075C57C61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PlanIst!$P$13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A8-4807-A395-02075C57C61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A8-4807-A395-02075C57C61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PlanIst!$R$13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A8-4807-A395-02075C57C61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PlanIst!$S$13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A8-4807-A395-02075C57C61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PlanIst!$T$13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A8-4807-A395-02075C57C61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PlanIst!$U$13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A8-4807-A395-02075C57C61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PlanIst!$V$13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A8-4807-A395-02075C57C61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PlanIst!$W$13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A8-4807-A395-02075C57C61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PlanIst!$X$13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A8-4807-A395-02075C57C61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PlanIst!$Y$13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A8-4807-A395-02075C57C61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PlanIst!$Z$13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A8-4807-A395-02075C57C61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PlanIst!$AA$13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A8-4807-A395-02075C57C61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PlanIst!$AB$13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A8-4807-A395-02075C57C61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PlanIst!$AC$13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A8-4807-A395-02075C57C61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PlanIst!$AD$13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A8-4807-A395-02075C57C61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PlanIst!$AE$13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A8-4807-A395-02075C57C61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PlanIst!$AF$13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A8-4807-A395-02075C57C6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6716304"/>
        <c:axId val="1142551520"/>
      </c:barChart>
      <c:catAx>
        <c:axId val="121671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51520"/>
        <c:crosses val="autoZero"/>
        <c:auto val="1"/>
        <c:lblAlgn val="ctr"/>
        <c:lblOffset val="100"/>
        <c:noMultiLvlLbl val="0"/>
      </c:catAx>
      <c:valAx>
        <c:axId val="11425515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67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2400"/>
              <a:t>Return-Ratio-Deviation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58911934402026"/>
          <c:y val="0.32222413348241163"/>
          <c:w val="0.80882494501443503"/>
          <c:h val="0.58811066367654286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PlanIst!$B$14:$AF$14</c:f>
              <c:numCache>
                <c:formatCode>0%</c:formatCode>
                <c:ptCount val="31"/>
                <c:pt idx="0">
                  <c:v>4.9999999999999989E-2</c:v>
                </c:pt>
                <c:pt idx="1">
                  <c:v>-9.9999999999999811E-3</c:v>
                </c:pt>
                <c:pt idx="2">
                  <c:v>-4.9999999999999989E-2</c:v>
                </c:pt>
                <c:pt idx="3">
                  <c:v>-9.9999999999999811E-3</c:v>
                </c:pt>
                <c:pt idx="4">
                  <c:v>0.03</c:v>
                </c:pt>
                <c:pt idx="5">
                  <c:v>1.0000000000000009E-2</c:v>
                </c:pt>
                <c:pt idx="6">
                  <c:v>-0.03</c:v>
                </c:pt>
                <c:pt idx="7">
                  <c:v>2.0000000000000018E-2</c:v>
                </c:pt>
                <c:pt idx="8">
                  <c:v>-1.0000000000000009E-2</c:v>
                </c:pt>
                <c:pt idx="9">
                  <c:v>-0.03</c:v>
                </c:pt>
                <c:pt idx="10">
                  <c:v>0</c:v>
                </c:pt>
                <c:pt idx="11">
                  <c:v>-4.9999999999999989E-2</c:v>
                </c:pt>
                <c:pt idx="12">
                  <c:v>-0.03</c:v>
                </c:pt>
                <c:pt idx="13">
                  <c:v>2.0000000000000018E-2</c:v>
                </c:pt>
                <c:pt idx="14">
                  <c:v>-0.03</c:v>
                </c:pt>
                <c:pt idx="15">
                  <c:v>0.03</c:v>
                </c:pt>
                <c:pt idx="16">
                  <c:v>-0.03</c:v>
                </c:pt>
                <c:pt idx="17">
                  <c:v>-0.03</c:v>
                </c:pt>
                <c:pt idx="18">
                  <c:v>-1.999999999999999E-2</c:v>
                </c:pt>
                <c:pt idx="19">
                  <c:v>1.0000000000000009E-2</c:v>
                </c:pt>
                <c:pt idx="20">
                  <c:v>0.03</c:v>
                </c:pt>
                <c:pt idx="21">
                  <c:v>-1.0000000000000009E-2</c:v>
                </c:pt>
                <c:pt idx="22">
                  <c:v>0.03</c:v>
                </c:pt>
                <c:pt idx="23">
                  <c:v>0.03</c:v>
                </c:pt>
                <c:pt idx="24">
                  <c:v>0</c:v>
                </c:pt>
                <c:pt idx="25">
                  <c:v>-3.999999999999998E-2</c:v>
                </c:pt>
                <c:pt idx="26">
                  <c:v>-1.999999999999999E-2</c:v>
                </c:pt>
                <c:pt idx="27">
                  <c:v>-1.999999999999999E-2</c:v>
                </c:pt>
                <c:pt idx="28">
                  <c:v>0</c:v>
                </c:pt>
                <c:pt idx="29">
                  <c:v>0</c:v>
                </c:pt>
                <c:pt idx="30">
                  <c:v>-0.03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2-4B7A-8EF0-9D22AE90E9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6230912"/>
        <c:axId val="872777728"/>
      </c:lineChart>
      <c:catAx>
        <c:axId val="116623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77728"/>
        <c:crosses val="autoZero"/>
        <c:auto val="1"/>
        <c:lblAlgn val="ctr"/>
        <c:lblOffset val="100"/>
        <c:noMultiLvlLbl val="0"/>
      </c:catAx>
      <c:valAx>
        <c:axId val="872777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6623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2400"/>
              <a:t>Performance-Deviation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15536105032823"/>
          <c:y val="0.28322401862167557"/>
          <c:w val="0.84261661831744716"/>
          <c:h val="0.637963327575176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PlanIst!$B$15</c:f>
              <c:numCache>
                <c:formatCode>General</c:formatCode>
                <c:ptCount val="1"/>
                <c:pt idx="0">
                  <c:v>-78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601-9DF6-0B4B6FEA1AC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PlanIst!$C$15</c:f>
              <c:numCache>
                <c:formatCode>General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D-4601-9DF6-0B4B6FEA1AC9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PlanIst!$D$15</c:f>
              <c:numCache>
                <c:formatCode>General</c:formatCode>
                <c:ptCount val="1"/>
                <c:pt idx="0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D-4601-9DF6-0B4B6FEA1AC9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PlanIst!$E$15</c:f>
              <c:numCache>
                <c:formatCode>General</c:formatCode>
                <c:ptCount val="1"/>
                <c:pt idx="0">
                  <c:v>-101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D-4601-9DF6-0B4B6FEA1AC9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PlanIst!$F$15</c:f>
              <c:numCache>
                <c:formatCode>General</c:formatCode>
                <c:ptCount val="1"/>
                <c:pt idx="0">
                  <c:v>-76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D-4601-9DF6-0B4B6FEA1AC9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PlanIst!$G$15</c:f>
              <c:numCache>
                <c:formatCode>General</c:formatCode>
                <c:ptCount val="1"/>
                <c:pt idx="0">
                  <c:v>-101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D-4601-9DF6-0B4B6FEA1AC9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PlanIst!$H$15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D-4601-9DF6-0B4B6FEA1AC9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PlanIst!$I$15</c:f>
              <c:numCache>
                <c:formatCode>General</c:formatCode>
                <c:ptCount val="1"/>
                <c:pt idx="0">
                  <c:v>-207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D-4601-9DF6-0B4B6FEA1AC9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PlanIst!$J$15</c:f>
              <c:numCache>
                <c:formatCode>General</c:formatCode>
                <c:ptCount val="1"/>
                <c:pt idx="0">
                  <c:v>-121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D-4601-9DF6-0B4B6FEA1AC9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PlanIst!$K$15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D-4601-9DF6-0B4B6FEA1AC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PlanIst!$L$15</c:f>
              <c:numCache>
                <c:formatCode>General</c:formatCode>
                <c:ptCount val="1"/>
                <c:pt idx="0">
                  <c:v>-22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D-4601-9DF6-0B4B6FEA1AC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PlanIst!$M$15</c:f>
              <c:numCache>
                <c:formatCode>General</c:formatCode>
                <c:ptCount val="1"/>
                <c:pt idx="0">
                  <c:v>-154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E7D-4601-9DF6-0B4B6FEA1AC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PlanIst!$N$15</c:f>
              <c:numCache>
                <c:formatCode>General</c:formatCode>
                <c:ptCount val="1"/>
                <c:pt idx="0">
                  <c:v>-111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E7D-4601-9DF6-0B4B6FEA1AC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PlanIst!$O$15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E7D-4601-9DF6-0B4B6FEA1AC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PlanIst!$P$15</c:f>
              <c:numCache>
                <c:formatCode>General</c:formatCode>
                <c:ptCount val="1"/>
                <c:pt idx="0">
                  <c:v>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E7D-4601-9DF6-0B4B6FEA1AC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PlanIst!$Q$15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E7D-4601-9DF6-0B4B6FEA1AC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PlanIst!$R$15</c:f>
              <c:numCache>
                <c:formatCode>General</c:formatCode>
                <c:ptCount val="1"/>
                <c:pt idx="0">
                  <c:v>-72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E7D-4601-9DF6-0B4B6FEA1AC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PlanIst!$S$15</c:f>
              <c:numCache>
                <c:formatCode>General</c:formatCode>
                <c:ptCount val="1"/>
                <c:pt idx="0">
                  <c:v>-219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E7D-4601-9DF6-0B4B6FEA1AC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PlanIst!$T$15</c:f>
              <c:numCache>
                <c:formatCode>General</c:formatCode>
                <c:ptCount val="1"/>
                <c:pt idx="0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E7D-4601-9DF6-0B4B6FEA1AC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PlanIst!$U$15</c:f>
              <c:numCache>
                <c:formatCode>General</c:formatCode>
                <c:ptCount val="1"/>
                <c:pt idx="0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E7D-4601-9DF6-0B4B6FEA1AC9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PlanIst!$V$15</c:f>
              <c:numCache>
                <c:formatCode>General</c:formatCode>
                <c:ptCount val="1"/>
                <c:pt idx="0">
                  <c:v>-225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E7D-4601-9DF6-0B4B6FEA1AC9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PlanIst!$W$15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E7D-4601-9DF6-0B4B6FEA1AC9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PlanIst!$X$15</c:f>
              <c:numCache>
                <c:formatCode>General</c:formatCode>
                <c:ptCount val="1"/>
                <c:pt idx="0">
                  <c:v>-185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E7D-4601-9DF6-0B4B6FEA1AC9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PlanIst!$Y$15</c:f>
              <c:numCache>
                <c:formatCode>General</c:formatCode>
                <c:ptCount val="1"/>
                <c:pt idx="0">
                  <c:v>-254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E7D-4601-9DF6-0B4B6FEA1AC9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PlanIst!$Z$15</c:f>
              <c:numCache>
                <c:formatCode>General</c:formatCode>
                <c:ptCount val="1"/>
                <c:pt idx="0">
                  <c:v>-170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E7D-4601-9DF6-0B4B6FEA1AC9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PlanIst!$AA$15</c:f>
              <c:numCache>
                <c:formatCode>General</c:formatCode>
                <c:ptCount val="1"/>
                <c:pt idx="0">
                  <c:v>-217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E7D-4601-9DF6-0B4B6FEA1AC9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E7D-4601-9DF6-0B4B6FEA1AC9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PlanIst!$AC$15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E7D-4601-9DF6-0B4B6FEA1AC9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PlanIst!$AD$15</c:f>
              <c:numCache>
                <c:formatCode>General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E7D-4601-9DF6-0B4B6FEA1AC9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PlanIst!$AE$15</c:f>
              <c:numCache>
                <c:formatCode>General</c:formatCode>
                <c:ptCount val="1"/>
                <c:pt idx="0">
                  <c:v>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E7D-4601-9DF6-0B4B6FEA1AC9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PlanIst!$AF$15</c:f>
              <c:numCache>
                <c:formatCode>General</c:formatCode>
                <c:ptCount val="1"/>
                <c:pt idx="0">
                  <c:v>-164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E7D-4601-9DF6-0B4B6FEA1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9456112"/>
        <c:axId val="1171887056"/>
      </c:barChart>
      <c:catAx>
        <c:axId val="56945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87056"/>
        <c:crosses val="autoZero"/>
        <c:auto val="1"/>
        <c:lblAlgn val="ctr"/>
        <c:lblOffset val="100"/>
        <c:noMultiLvlLbl val="0"/>
      </c:catAx>
      <c:valAx>
        <c:axId val="11718870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945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Kapa Differenz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06208334791944E-2"/>
          <c:y val="0.23060838728792343"/>
          <c:w val="0.91159379166520804"/>
          <c:h val="0.705220293203673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PlanPlan!$B$14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9-4E43-BF93-6D535916C48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PlanPlan!$C$14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9-4E43-BF93-6D535916C489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PlanPlan!$D$14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9-4E43-BF93-6D535916C489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PlanPlan!$E$14</c:f>
              <c:numCache>
                <c:formatCode>General</c:formatCode>
                <c:ptCount val="1"/>
                <c:pt idx="0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C9-4E43-BF93-6D535916C489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PlanPlan!$F$14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C9-4E43-BF93-6D535916C489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PlanPlan!$G$14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C9-4E43-BF93-6D535916C489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PlanPlan!$H$14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C9-4E43-BF93-6D535916C489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PlanPlan!$I$14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3C9-4E43-BF93-6D535916C489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PlanPlan!$J$14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C9-4E43-BF93-6D535916C489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PlanPlan!$K$14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3C9-4E43-BF93-6D535916C489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PlanPlan!$L$14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C9-4E43-BF93-6D535916C489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PlanPlan!$M$14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3C9-4E43-BF93-6D535916C489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PlanPlan!$N$14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3C9-4E43-BF93-6D535916C489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PlanPlan!$O$14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C9-4E43-BF93-6D535916C489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PlanPlan!$P$14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3C9-4E43-BF93-6D535916C489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PlanPlan!$Q$14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3C9-4E43-BF93-6D535916C489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PlanPlan!$R$14</c:f>
              <c:numCache>
                <c:formatCode>General</c:formatCode>
                <c:ptCount val="1"/>
                <c:pt idx="0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3C9-4E43-BF93-6D535916C489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PlanPlan!$S$14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3C9-4E43-BF93-6D535916C489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PlanPlan!$T$14</c:f>
              <c:numCache>
                <c:formatCode>General</c:formatCode>
                <c:ptCount val="1"/>
                <c:pt idx="0">
                  <c:v>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3C9-4E43-BF93-6D535916C489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PlanPlan!$U$14</c:f>
              <c:numCache>
                <c:formatCode>General</c:formatCode>
                <c:ptCount val="1"/>
                <c:pt idx="0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3C9-4E43-BF93-6D535916C489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PlanPlan!$V$14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3C9-4E43-BF93-6D535916C489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PlanPlan!$W$14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3C9-4E43-BF93-6D535916C489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PlanPlan!$X$14</c:f>
              <c:numCache>
                <c:formatCode>General</c:formatCode>
                <c:ptCount val="1"/>
                <c:pt idx="0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3C9-4E43-BF93-6D535916C489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PlanPlan!$Y$14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3C9-4E43-BF93-6D535916C489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PlanPlan!$Z$14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3C9-4E43-BF93-6D535916C489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PlanPlan!$AA$14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3C9-4E43-BF93-6D535916C489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PlanPlan!$AB$14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3C9-4E43-BF93-6D535916C489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PlanPlan!$AC$14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3C9-4E43-BF93-6D535916C489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PlanPlan!$AD$14</c:f>
              <c:numCache>
                <c:formatCode>General</c:formatCode>
                <c:ptCount val="1"/>
                <c:pt idx="0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3C9-4E43-BF93-6D535916C489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PlanPlan!$AE$14</c:f>
              <c:numCache>
                <c:formatCode>General</c:formatCode>
                <c:ptCount val="1"/>
                <c:pt idx="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3C9-4E43-BF93-6D535916C489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PlanPlan!$AF$14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3C9-4E43-BF93-6D535916C4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16716304"/>
        <c:axId val="1142551520"/>
      </c:barChart>
      <c:catAx>
        <c:axId val="1216716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551520"/>
        <c:crosses val="autoZero"/>
        <c:auto val="1"/>
        <c:lblAlgn val="ctr"/>
        <c:lblOffset val="100"/>
        <c:noMultiLvlLbl val="0"/>
      </c:catAx>
      <c:valAx>
        <c:axId val="11425515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671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800"/>
              <a:t>Retourenquote Differenz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983195966391934E-2"/>
          <c:y val="0.31303803987933193"/>
          <c:w val="0.88282823232313135"/>
          <c:h val="0.59985296850233638"/>
        </c:manualLayout>
      </c:layout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80657865957545E-2"/>
                      <c:h val="0.189890592565107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C7-47DE-A1C8-9B0977F8DB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PlanPlan!$B$15:$AF$15</c:f>
              <c:numCache>
                <c:formatCode>0%</c:formatCode>
                <c:ptCount val="31"/>
                <c:pt idx="0">
                  <c:v>-0.03</c:v>
                </c:pt>
                <c:pt idx="1">
                  <c:v>0</c:v>
                </c:pt>
                <c:pt idx="2">
                  <c:v>-4.9999999999999989E-2</c:v>
                </c:pt>
                <c:pt idx="3">
                  <c:v>-1.0000000000000009E-2</c:v>
                </c:pt>
                <c:pt idx="4">
                  <c:v>0</c:v>
                </c:pt>
                <c:pt idx="5">
                  <c:v>-0.03</c:v>
                </c:pt>
                <c:pt idx="6">
                  <c:v>1.999999999999999E-2</c:v>
                </c:pt>
                <c:pt idx="7">
                  <c:v>-2.0000000000000018E-2</c:v>
                </c:pt>
                <c:pt idx="8">
                  <c:v>9.9999999999999811E-3</c:v>
                </c:pt>
                <c:pt idx="9">
                  <c:v>-9.9999999999999811E-3</c:v>
                </c:pt>
                <c:pt idx="10">
                  <c:v>9.9999999999999811E-3</c:v>
                </c:pt>
                <c:pt idx="11">
                  <c:v>0.03</c:v>
                </c:pt>
                <c:pt idx="12">
                  <c:v>1.999999999999999E-2</c:v>
                </c:pt>
                <c:pt idx="13">
                  <c:v>9.9999999999999811E-3</c:v>
                </c:pt>
                <c:pt idx="14">
                  <c:v>-9.9999999999999811E-3</c:v>
                </c:pt>
                <c:pt idx="15">
                  <c:v>0.03</c:v>
                </c:pt>
                <c:pt idx="16">
                  <c:v>-1.0000000000000009E-2</c:v>
                </c:pt>
                <c:pt idx="17">
                  <c:v>1.999999999999999E-2</c:v>
                </c:pt>
                <c:pt idx="18">
                  <c:v>-2.0000000000000018E-2</c:v>
                </c:pt>
                <c:pt idx="19">
                  <c:v>-1.999999999999999E-2</c:v>
                </c:pt>
                <c:pt idx="20">
                  <c:v>0</c:v>
                </c:pt>
                <c:pt idx="21">
                  <c:v>1.999999999999999E-2</c:v>
                </c:pt>
                <c:pt idx="22">
                  <c:v>1.999999999999999E-2</c:v>
                </c:pt>
                <c:pt idx="23">
                  <c:v>-2.0000000000000018E-2</c:v>
                </c:pt>
                <c:pt idx="24">
                  <c:v>-4.9999999999999989E-2</c:v>
                </c:pt>
                <c:pt idx="25">
                  <c:v>-2.0000000000000018E-2</c:v>
                </c:pt>
                <c:pt idx="26">
                  <c:v>-4.0000000000000008E-2</c:v>
                </c:pt>
                <c:pt idx="27">
                  <c:v>-1.0000000000000009E-2</c:v>
                </c:pt>
                <c:pt idx="28">
                  <c:v>0</c:v>
                </c:pt>
                <c:pt idx="29">
                  <c:v>4.0000000000000008E-2</c:v>
                </c:pt>
                <c:pt idx="30">
                  <c:v>-1.999999999999999E-2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7-47DE-A1C8-9B0977F8DB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6230912"/>
        <c:axId val="872777728"/>
      </c:lineChart>
      <c:catAx>
        <c:axId val="116623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77728"/>
        <c:crosses val="autoZero"/>
        <c:auto val="1"/>
        <c:lblAlgn val="ctr"/>
        <c:lblOffset val="100"/>
        <c:noMultiLvlLbl val="0"/>
      </c:catAx>
      <c:valAx>
        <c:axId val="8727777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6623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800"/>
              <a:t>Leistungsdifferenz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110376114153239E-2"/>
          <c:y val="0.2128210400032218"/>
          <c:w val="0.92088962388584661"/>
          <c:h val="0.727957319722671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PlanPlan!$B$16</c:f>
              <c:numCache>
                <c:formatCode>General</c:formatCode>
                <c:ptCount val="1"/>
                <c:pt idx="0">
                  <c:v>-94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F-4AE0-BBD6-2FA09F24776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PlanPlan!$C$16</c:f>
              <c:numCache>
                <c:formatCode>General</c:formatCode>
                <c:ptCount val="1"/>
                <c:pt idx="0">
                  <c:v>-145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AF-4AE0-BBD6-2FA09F24776F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PlanPlan!$D$16</c:f>
              <c:numCache>
                <c:formatCode>General</c:formatCode>
                <c:ptCount val="1"/>
                <c:pt idx="0">
                  <c:v>-124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AF-4AE0-BBD6-2FA09F24776F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PlanPlan!$E$16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AF-4AE0-BBD6-2FA09F24776F}"/>
            </c:ext>
          </c:extLst>
        </c:ser>
        <c:ser>
          <c:idx val="4"/>
          <c:order val="4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PlanPlan!$F$16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AF-4AE0-BBD6-2FA09F24776F}"/>
            </c:ext>
          </c:extLst>
        </c:ser>
        <c:ser>
          <c:idx val="5"/>
          <c:order val="5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PlanPlan!$G$16</c:f>
              <c:numCache>
                <c:formatCode>General</c:formatCode>
                <c:ptCount val="1"/>
                <c:pt idx="0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AF-4AE0-BBD6-2FA09F24776F}"/>
            </c:ext>
          </c:extLst>
        </c:ser>
        <c:ser>
          <c:idx val="6"/>
          <c:order val="6"/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PlanPlan!$H$16</c:f>
              <c:numCache>
                <c:formatCode>General</c:formatCode>
                <c:ptCount val="1"/>
                <c:pt idx="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AF-4AE0-BBD6-2FA09F24776F}"/>
            </c:ext>
          </c:extLst>
        </c:ser>
        <c:ser>
          <c:idx val="7"/>
          <c:order val="7"/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PlanPlan!$I$16</c:f>
              <c:numCache>
                <c:formatCode>General</c:formatCode>
                <c:ptCount val="1"/>
                <c:pt idx="0">
                  <c:v>-96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AF-4AE0-BBD6-2FA09F24776F}"/>
            </c:ext>
          </c:extLst>
        </c:ser>
        <c:ser>
          <c:idx val="8"/>
          <c:order val="8"/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PlanPlan!$J$16</c:f>
              <c:numCache>
                <c:formatCode>General</c:formatCode>
                <c:ptCount val="1"/>
                <c:pt idx="0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AF-4AE0-BBD6-2FA09F24776F}"/>
            </c:ext>
          </c:extLst>
        </c:ser>
        <c:ser>
          <c:idx val="9"/>
          <c:order val="9"/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PlanPlan!$K$16</c:f>
              <c:numCache>
                <c:formatCode>General</c:formatCode>
                <c:ptCount val="1"/>
                <c:pt idx="0">
                  <c:v>-167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AF-4AE0-BBD6-2FA09F24776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PlanPlan!$L$16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AF-4AE0-BBD6-2FA09F24776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PlanPlan!$M$16</c:f>
              <c:numCache>
                <c:formatCode>General</c:formatCode>
                <c:ptCount val="1"/>
                <c:pt idx="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AF-4AE0-BBD6-2FA09F24776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PlanPlan!$N$16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AF-4AE0-BBD6-2FA09F24776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PlanPlan!$O$16</c:f>
              <c:numCache>
                <c:formatCode>General</c:formatCode>
                <c:ptCount val="1"/>
                <c:pt idx="0">
                  <c:v>-47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AF-4AE0-BBD6-2FA09F24776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PlanPlan!$P$16</c:f>
              <c:numCache>
                <c:formatCode>General</c:formatCode>
                <c:ptCount val="1"/>
                <c:pt idx="0">
                  <c:v>-110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AF-4AE0-BBD6-2FA09F24776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PlanPlan!$Q$16</c:f>
              <c:numCache>
                <c:formatCode>General</c:formatCode>
                <c:ptCount val="1"/>
                <c:pt idx="0">
                  <c:v>-156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5AF-4AE0-BBD6-2FA09F24776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PlanPlan!$R$16</c:f>
              <c:numCache>
                <c:formatCode>General</c:formatCode>
                <c:ptCount val="1"/>
                <c:pt idx="0">
                  <c:v>-27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AF-4AE0-BBD6-2FA09F24776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PlanPlan!$S$16</c:f>
              <c:numCache>
                <c:formatCode>General</c:formatCode>
                <c:ptCount val="1"/>
                <c:pt idx="0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AF-4AE0-BBD6-2FA09F24776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PlanPlan!$T$16</c:f>
              <c:numCache>
                <c:formatCode>General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5AF-4AE0-BBD6-2FA09F24776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PlanPlan!$U$16</c:f>
              <c:numCache>
                <c:formatCode>General</c:formatCode>
                <c:ptCount val="1"/>
                <c:pt idx="0">
                  <c:v>-58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5AF-4AE0-BBD6-2FA09F24776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PlanPlan!$V$16</c:f>
              <c:numCache>
                <c:formatCode>General</c:formatCode>
                <c:ptCount val="1"/>
                <c:pt idx="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5AF-4AE0-BBD6-2FA09F24776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PlanPlan!$W$16</c:f>
              <c:numCache>
                <c:formatCode>General</c:formatCode>
                <c:ptCount val="1"/>
                <c:pt idx="0">
                  <c:v>-172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5AF-4AE0-BBD6-2FA09F24776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PlanPlan!$X$16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AF-4AE0-BBD6-2FA09F24776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PlanPlan!$Y$16</c:f>
              <c:numCache>
                <c:formatCode>General</c:formatCode>
                <c:ptCount val="1"/>
                <c:pt idx="0">
                  <c:v>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5AF-4AE0-BBD6-2FA09F24776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PlanPlan!$Z$16</c:f>
              <c:numCache>
                <c:formatCode>General</c:formatCode>
                <c:ptCount val="1"/>
                <c:pt idx="0">
                  <c:v>-71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AF-4AE0-BBD6-2FA09F24776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PlanPlan!$AA$16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5AF-4AE0-BBD6-2FA09F24776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PlanPlan!$AB$16</c:f>
              <c:numCache>
                <c:formatCode>General</c:formatCode>
                <c:ptCount val="1"/>
                <c:pt idx="0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5AF-4AE0-BBD6-2FA09F24776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PlanPlan!$AC$16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5AF-4AE0-BBD6-2FA09F24776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PlanPlan!$AD$16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5AF-4AE0-BBD6-2FA09F24776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PlanPlan!$AE$16</c:f>
              <c:numCache>
                <c:formatCode>General</c:formatCode>
                <c:ptCount val="1"/>
                <c:pt idx="0">
                  <c:v>-243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5AF-4AE0-BBD6-2FA09F24776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PlanPlan!$AF$16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5AF-4AE0-BBD6-2FA09F2477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9456112"/>
        <c:axId val="1171887056"/>
      </c:barChart>
      <c:catAx>
        <c:axId val="569456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887056"/>
        <c:crosses val="autoZero"/>
        <c:auto val="1"/>
        <c:lblAlgn val="ctr"/>
        <c:lblOffset val="100"/>
        <c:noMultiLvlLbl val="0"/>
      </c:catAx>
      <c:valAx>
        <c:axId val="11718870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945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71966</xdr:rowOff>
    </xdr:from>
    <xdr:to>
      <xdr:col>33</xdr:col>
      <xdr:colOff>23900</xdr:colOff>
      <xdr:row>29</xdr:row>
      <xdr:rowOff>90066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F8B932C-A20E-476F-9D1E-4D1DA5BE5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136525</xdr:rowOff>
    </xdr:from>
    <xdr:to>
      <xdr:col>33</xdr:col>
      <xdr:colOff>23900</xdr:colOff>
      <xdr:row>43</xdr:row>
      <xdr:rowOff>167325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B879393-FB97-451E-8FA3-97AB833DC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23585</xdr:rowOff>
    </xdr:from>
    <xdr:to>
      <xdr:col>33</xdr:col>
      <xdr:colOff>23900</xdr:colOff>
      <xdr:row>58</xdr:row>
      <xdr:rowOff>54385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4ACF704C-DEBA-454C-8B6B-AAF04597C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16</xdr:row>
      <xdr:rowOff>84665</xdr:rowOff>
    </xdr:from>
    <xdr:to>
      <xdr:col>33</xdr:col>
      <xdr:colOff>3060</xdr:colOff>
      <xdr:row>30</xdr:row>
      <xdr:rowOff>100225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BAA4A1A-C2FA-4046-87A6-28EBE3FB5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30</xdr:row>
      <xdr:rowOff>158115</xdr:rowOff>
    </xdr:from>
    <xdr:to>
      <xdr:col>33</xdr:col>
      <xdr:colOff>3060</xdr:colOff>
      <xdr:row>45</xdr:row>
      <xdr:rowOff>11115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37470D3-20AD-4484-BEE7-566F767A0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45</xdr:row>
      <xdr:rowOff>79464</xdr:rowOff>
    </xdr:from>
    <xdr:to>
      <xdr:col>33</xdr:col>
      <xdr:colOff>3060</xdr:colOff>
      <xdr:row>59</xdr:row>
      <xdr:rowOff>110264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29D9E5F-DD45-473A-BF20-52A947224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ringer Thomas" refreshedDate="44264.819001388889" createdVersion="6" refreshedVersion="6" minRefreshableVersion="3" recordCount="236" xr:uid="{A084227F-28A6-44DD-A762-9F9F5462C7C4}">
  <cacheSource type="worksheet">
    <worksheetSource ref="A1:I1048576" sheet="MA-Daten"/>
  </cacheSource>
  <cacheFields count="10">
    <cacheField name="MA" numFmtId="0">
      <sharedItems containsBlank="1" count="5">
        <s v="Mayr"/>
        <s v="Eckberger"/>
        <s v="Wadlberger"/>
        <s v="Smith"/>
        <m/>
      </sharedItems>
    </cacheField>
    <cacheField name="Tag" numFmtId="0">
      <sharedItems containsNonDate="0" containsDate="1" containsString="0" containsBlank="1" minDate="2021-01-01T00:00:00" maxDate="2021-03-01T00:00:00" count="60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m/>
      </sharedItems>
      <fieldGroup par="9" base="1">
        <rangePr groupBy="days" startDate="2021-01-01T00:00:00" endDate="2021-03-01T00:00:00"/>
        <groupItems count="368">
          <s v="(Leer)"/>
          <s v="01.Jän"/>
          <s v="02.Jän"/>
          <s v="03.Jän"/>
          <s v="04.Jän"/>
          <s v="05.Jän"/>
          <s v="06.Jän"/>
          <s v="07.Jän"/>
          <s v="08.Jän"/>
          <s v="09.Jän"/>
          <s v="10.Jän"/>
          <s v="11.Jän"/>
          <s v="12.Jän"/>
          <s v="13.Jän"/>
          <s v="14.Jän"/>
          <s v="15.Jän"/>
          <s v="16.Jän"/>
          <s v="17.Jän"/>
          <s v="18.Jän"/>
          <s v="19.Jän"/>
          <s v="20.Jän"/>
          <s v="21.Jän"/>
          <s v="22.Jän"/>
          <s v="23.Jän"/>
          <s v="24.Jän"/>
          <s v="25.Jän"/>
          <s v="26.Jän"/>
          <s v="27.Jän"/>
          <s v="28.Jän"/>
          <s v="29.Jän"/>
          <s v="30.Jän"/>
          <s v="31.Jä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är"/>
          <s v="02.Mär"/>
          <s v="03.Mär"/>
          <s v="04.Mär"/>
          <s v="05.Mär"/>
          <s v="06.Mär"/>
          <s v="07.Mär"/>
          <s v="08.Mär"/>
          <s v="09.Mär"/>
          <s v="10.Mär"/>
          <s v="11.Mär"/>
          <s v="12.Mär"/>
          <s v="13.Mär"/>
          <s v="14.Mär"/>
          <s v="15.Mär"/>
          <s v="16.Mär"/>
          <s v="17.Mär"/>
          <s v="18.Mär"/>
          <s v="19.Mär"/>
          <s v="20.Mär"/>
          <s v="21.Mär"/>
          <s v="22.Mär"/>
          <s v="23.Mär"/>
          <s v="24.Mär"/>
          <s v="25.Mär"/>
          <s v="26.Mär"/>
          <s v="27.Mär"/>
          <s v="28.Mär"/>
          <s v="29.Mär"/>
          <s v="30.Mär"/>
          <s v="31.Mä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Jun"/>
          <s v="02.Jun"/>
          <s v="03.Jun"/>
          <s v="04.Jun"/>
          <s v="05.Jun"/>
          <s v="06.Jun"/>
          <s v="07.Jun"/>
          <s v="08.Jun"/>
          <s v="0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01.Jul"/>
          <s v="02.Jul"/>
          <s v="03.Jul"/>
          <s v="04.Jul"/>
          <s v="05.Jul"/>
          <s v="06.Jul"/>
          <s v="07.Jul"/>
          <s v="08.Jul"/>
          <s v="0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"/>
          <s v="02.Sep"/>
          <s v="03.Sep"/>
          <s v="04.Sep"/>
          <s v="05.Sep"/>
          <s v="06.Sep"/>
          <s v="07.Sep"/>
          <s v="08.Sep"/>
          <s v="0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01.Okt"/>
          <s v="02.Okt"/>
          <s v="03.Okt"/>
          <s v="04.Okt"/>
          <s v="05.Okt"/>
          <s v="06.Okt"/>
          <s v="07.Okt"/>
          <s v="08.Okt"/>
          <s v="0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z"/>
          <s v="02.Dez"/>
          <s v="03.Dez"/>
          <s v="04.Dez"/>
          <s v="05.Dez"/>
          <s v="06.Dez"/>
          <s v="07.Dez"/>
          <s v="08.Dez"/>
          <s v="09.Dez"/>
          <s v="10.Dez"/>
          <s v="11.Dez"/>
          <s v="12.Dez"/>
          <s v="13.Dez"/>
          <s v="14.Dez"/>
          <s v="15.Dez"/>
          <s v="16.Dez"/>
          <s v="17.Dez"/>
          <s v="18.Dez"/>
          <s v="19.Dez"/>
          <s v="20.Dez"/>
          <s v="21.Dez"/>
          <s v="22.Dez"/>
          <s v="23.Dez"/>
          <s v="24.Dez"/>
          <s v="25.Dez"/>
          <s v="26.Dez"/>
          <s v="27.Dez"/>
          <s v="28.Dez"/>
          <s v="29.Dez"/>
          <s v="30.Dez"/>
          <s v="31.Dez"/>
          <s v="&gt;01.03.2021"/>
        </groupItems>
      </fieldGroup>
    </cacheField>
    <cacheField name="Monat" numFmtId="0">
      <sharedItems containsBlank="1" count="3">
        <s v="Jänner"/>
        <s v="Februar"/>
        <m/>
      </sharedItems>
    </cacheField>
    <cacheField name="KW" numFmtId="0">
      <sharedItems containsBlank="1" count="10">
        <s v="KW53"/>
        <s v="KW1"/>
        <s v="KW2"/>
        <s v="KW3"/>
        <s v="KW4"/>
        <s v="KW5"/>
        <s v="KW6"/>
        <s v="KW7"/>
        <s v="KW8"/>
        <m/>
      </sharedItems>
    </cacheField>
    <cacheField name="Tag2" numFmtId="0">
      <sharedItems containsBlank="1" count="32">
        <s v="01"/>
        <s v="02"/>
        <s v="03"/>
        <s v="04"/>
        <s v="05"/>
        <s v="06"/>
        <s v="07"/>
        <s v="08"/>
        <s v="0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m/>
      </sharedItems>
    </cacheField>
    <cacheField name="Schichtzyklus" numFmtId="0">
      <sharedItems containsBlank="1" count="4">
        <s v="5T-Früh"/>
        <s v="Urlaub"/>
        <s v="ZA"/>
        <m/>
      </sharedItems>
    </cacheField>
    <cacheField name="Stunden" numFmtId="0">
      <sharedItems containsString="0" containsBlank="1" containsNumber="1" containsInteger="1" minValue="8" maxValue="8"/>
    </cacheField>
    <cacheField name="Firma" numFmtId="0">
      <sharedItems containsBlank="1" count="4">
        <s v="TGW"/>
        <s v="Hallo"/>
        <s v="ACME"/>
        <m/>
      </sharedItems>
    </cacheField>
    <cacheField name="Urlaub" numFmtId="0">
      <sharedItems containsBlank="1"/>
    </cacheField>
    <cacheField name="Monate" numFmtId="0" databaseField="0">
      <fieldGroup base="1">
        <rangePr groupBy="months" startDate="2021-01-01T00:00:00" endDate="2021-03-01T00:00:00"/>
        <groupItems count="14">
          <s v="&lt;01.01.2021"/>
          <s v="Jän"/>
          <s v="Feb"/>
          <s v="Mär"/>
          <s v="Apr"/>
          <s v="Mai"/>
          <s v="Jun"/>
          <s v="Jul"/>
          <s v="Aug"/>
          <s v="Sep"/>
          <s v="Okt"/>
          <s v="Nov"/>
          <s v="Dez"/>
          <s v="&gt;01.03.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x v="0"/>
    <x v="0"/>
    <x v="0"/>
    <x v="0"/>
    <x v="0"/>
    <x v="0"/>
    <n v="8"/>
    <x v="0"/>
    <s v="n"/>
  </r>
  <r>
    <x v="0"/>
    <x v="1"/>
    <x v="0"/>
    <x v="0"/>
    <x v="1"/>
    <x v="0"/>
    <n v="8"/>
    <x v="0"/>
    <s v="n"/>
  </r>
  <r>
    <x v="0"/>
    <x v="2"/>
    <x v="0"/>
    <x v="0"/>
    <x v="2"/>
    <x v="0"/>
    <n v="8"/>
    <x v="0"/>
    <s v="n"/>
  </r>
  <r>
    <x v="0"/>
    <x v="3"/>
    <x v="0"/>
    <x v="1"/>
    <x v="3"/>
    <x v="0"/>
    <n v="8"/>
    <x v="0"/>
    <s v="n"/>
  </r>
  <r>
    <x v="0"/>
    <x v="4"/>
    <x v="0"/>
    <x v="1"/>
    <x v="4"/>
    <x v="0"/>
    <n v="8"/>
    <x v="0"/>
    <s v="n"/>
  </r>
  <r>
    <x v="0"/>
    <x v="5"/>
    <x v="0"/>
    <x v="1"/>
    <x v="5"/>
    <x v="0"/>
    <n v="8"/>
    <x v="0"/>
    <s v="n"/>
  </r>
  <r>
    <x v="0"/>
    <x v="6"/>
    <x v="0"/>
    <x v="1"/>
    <x v="6"/>
    <x v="0"/>
    <n v="8"/>
    <x v="0"/>
    <s v="n"/>
  </r>
  <r>
    <x v="0"/>
    <x v="7"/>
    <x v="0"/>
    <x v="1"/>
    <x v="7"/>
    <x v="0"/>
    <n v="8"/>
    <x v="0"/>
    <s v="n"/>
  </r>
  <r>
    <x v="0"/>
    <x v="8"/>
    <x v="0"/>
    <x v="1"/>
    <x v="8"/>
    <x v="0"/>
    <n v="8"/>
    <x v="0"/>
    <s v="n"/>
  </r>
  <r>
    <x v="0"/>
    <x v="9"/>
    <x v="0"/>
    <x v="1"/>
    <x v="9"/>
    <x v="1"/>
    <n v="8"/>
    <x v="0"/>
    <s v="j"/>
  </r>
  <r>
    <x v="0"/>
    <x v="10"/>
    <x v="0"/>
    <x v="2"/>
    <x v="10"/>
    <x v="1"/>
    <n v="8"/>
    <x v="0"/>
    <s v="j"/>
  </r>
  <r>
    <x v="0"/>
    <x v="11"/>
    <x v="0"/>
    <x v="2"/>
    <x v="11"/>
    <x v="1"/>
    <n v="8"/>
    <x v="0"/>
    <s v="j"/>
  </r>
  <r>
    <x v="0"/>
    <x v="12"/>
    <x v="0"/>
    <x v="2"/>
    <x v="12"/>
    <x v="1"/>
    <n v="8"/>
    <x v="0"/>
    <s v="j"/>
  </r>
  <r>
    <x v="0"/>
    <x v="13"/>
    <x v="0"/>
    <x v="2"/>
    <x v="13"/>
    <x v="1"/>
    <n v="8"/>
    <x v="0"/>
    <s v="j"/>
  </r>
  <r>
    <x v="0"/>
    <x v="14"/>
    <x v="0"/>
    <x v="2"/>
    <x v="14"/>
    <x v="1"/>
    <n v="8"/>
    <x v="0"/>
    <s v="j"/>
  </r>
  <r>
    <x v="0"/>
    <x v="15"/>
    <x v="0"/>
    <x v="2"/>
    <x v="15"/>
    <x v="1"/>
    <n v="8"/>
    <x v="0"/>
    <s v="j"/>
  </r>
  <r>
    <x v="0"/>
    <x v="16"/>
    <x v="0"/>
    <x v="2"/>
    <x v="16"/>
    <x v="1"/>
    <n v="8"/>
    <x v="0"/>
    <s v="j"/>
  </r>
  <r>
    <x v="0"/>
    <x v="17"/>
    <x v="0"/>
    <x v="3"/>
    <x v="17"/>
    <x v="0"/>
    <n v="8"/>
    <x v="0"/>
    <s v="n"/>
  </r>
  <r>
    <x v="0"/>
    <x v="18"/>
    <x v="0"/>
    <x v="3"/>
    <x v="18"/>
    <x v="0"/>
    <n v="8"/>
    <x v="0"/>
    <s v="n"/>
  </r>
  <r>
    <x v="0"/>
    <x v="19"/>
    <x v="0"/>
    <x v="3"/>
    <x v="19"/>
    <x v="0"/>
    <n v="8"/>
    <x v="0"/>
    <s v="n"/>
  </r>
  <r>
    <x v="0"/>
    <x v="20"/>
    <x v="0"/>
    <x v="3"/>
    <x v="20"/>
    <x v="0"/>
    <n v="8"/>
    <x v="0"/>
    <s v="n"/>
  </r>
  <r>
    <x v="0"/>
    <x v="21"/>
    <x v="0"/>
    <x v="3"/>
    <x v="21"/>
    <x v="0"/>
    <n v="8"/>
    <x v="0"/>
    <s v="n"/>
  </r>
  <r>
    <x v="0"/>
    <x v="22"/>
    <x v="0"/>
    <x v="3"/>
    <x v="22"/>
    <x v="0"/>
    <n v="8"/>
    <x v="0"/>
    <s v="n"/>
  </r>
  <r>
    <x v="0"/>
    <x v="23"/>
    <x v="0"/>
    <x v="3"/>
    <x v="23"/>
    <x v="0"/>
    <n v="8"/>
    <x v="0"/>
    <s v="n"/>
  </r>
  <r>
    <x v="0"/>
    <x v="24"/>
    <x v="0"/>
    <x v="4"/>
    <x v="24"/>
    <x v="2"/>
    <n v="8"/>
    <x v="0"/>
    <s v="n"/>
  </r>
  <r>
    <x v="0"/>
    <x v="25"/>
    <x v="0"/>
    <x v="4"/>
    <x v="25"/>
    <x v="2"/>
    <n v="8"/>
    <x v="0"/>
    <s v="n"/>
  </r>
  <r>
    <x v="0"/>
    <x v="26"/>
    <x v="0"/>
    <x v="4"/>
    <x v="26"/>
    <x v="2"/>
    <n v="8"/>
    <x v="0"/>
    <s v="n"/>
  </r>
  <r>
    <x v="0"/>
    <x v="27"/>
    <x v="0"/>
    <x v="4"/>
    <x v="27"/>
    <x v="2"/>
    <n v="8"/>
    <x v="0"/>
    <s v="n"/>
  </r>
  <r>
    <x v="0"/>
    <x v="28"/>
    <x v="0"/>
    <x v="4"/>
    <x v="28"/>
    <x v="2"/>
    <n v="8"/>
    <x v="0"/>
    <s v="n"/>
  </r>
  <r>
    <x v="0"/>
    <x v="29"/>
    <x v="0"/>
    <x v="4"/>
    <x v="29"/>
    <x v="0"/>
    <n v="8"/>
    <x v="0"/>
    <s v="n"/>
  </r>
  <r>
    <x v="0"/>
    <x v="30"/>
    <x v="0"/>
    <x v="4"/>
    <x v="30"/>
    <x v="0"/>
    <n v="8"/>
    <x v="0"/>
    <s v="n"/>
  </r>
  <r>
    <x v="0"/>
    <x v="31"/>
    <x v="1"/>
    <x v="5"/>
    <x v="0"/>
    <x v="0"/>
    <n v="8"/>
    <x v="0"/>
    <s v="n"/>
  </r>
  <r>
    <x v="0"/>
    <x v="32"/>
    <x v="1"/>
    <x v="5"/>
    <x v="1"/>
    <x v="0"/>
    <n v="8"/>
    <x v="0"/>
    <s v="n"/>
  </r>
  <r>
    <x v="0"/>
    <x v="33"/>
    <x v="1"/>
    <x v="5"/>
    <x v="2"/>
    <x v="0"/>
    <n v="8"/>
    <x v="0"/>
    <s v="n"/>
  </r>
  <r>
    <x v="0"/>
    <x v="34"/>
    <x v="1"/>
    <x v="5"/>
    <x v="3"/>
    <x v="0"/>
    <n v="8"/>
    <x v="0"/>
    <s v="n"/>
  </r>
  <r>
    <x v="0"/>
    <x v="35"/>
    <x v="1"/>
    <x v="5"/>
    <x v="4"/>
    <x v="0"/>
    <n v="8"/>
    <x v="0"/>
    <s v="n"/>
  </r>
  <r>
    <x v="0"/>
    <x v="36"/>
    <x v="1"/>
    <x v="5"/>
    <x v="5"/>
    <x v="0"/>
    <n v="8"/>
    <x v="0"/>
    <s v="n"/>
  </r>
  <r>
    <x v="0"/>
    <x v="37"/>
    <x v="1"/>
    <x v="5"/>
    <x v="6"/>
    <x v="0"/>
    <n v="8"/>
    <x v="0"/>
    <s v="n"/>
  </r>
  <r>
    <x v="0"/>
    <x v="38"/>
    <x v="1"/>
    <x v="6"/>
    <x v="7"/>
    <x v="0"/>
    <n v="8"/>
    <x v="0"/>
    <s v="n"/>
  </r>
  <r>
    <x v="0"/>
    <x v="39"/>
    <x v="1"/>
    <x v="6"/>
    <x v="8"/>
    <x v="0"/>
    <n v="8"/>
    <x v="0"/>
    <s v="n"/>
  </r>
  <r>
    <x v="0"/>
    <x v="40"/>
    <x v="1"/>
    <x v="6"/>
    <x v="9"/>
    <x v="0"/>
    <n v="8"/>
    <x v="0"/>
    <s v="n"/>
  </r>
  <r>
    <x v="0"/>
    <x v="41"/>
    <x v="1"/>
    <x v="6"/>
    <x v="10"/>
    <x v="0"/>
    <n v="8"/>
    <x v="0"/>
    <s v="n"/>
  </r>
  <r>
    <x v="0"/>
    <x v="42"/>
    <x v="1"/>
    <x v="6"/>
    <x v="11"/>
    <x v="0"/>
    <n v="8"/>
    <x v="0"/>
    <s v="n"/>
  </r>
  <r>
    <x v="0"/>
    <x v="43"/>
    <x v="1"/>
    <x v="6"/>
    <x v="12"/>
    <x v="0"/>
    <n v="8"/>
    <x v="0"/>
    <s v="n"/>
  </r>
  <r>
    <x v="0"/>
    <x v="44"/>
    <x v="1"/>
    <x v="6"/>
    <x v="13"/>
    <x v="0"/>
    <n v="8"/>
    <x v="0"/>
    <s v="n"/>
  </r>
  <r>
    <x v="0"/>
    <x v="45"/>
    <x v="1"/>
    <x v="7"/>
    <x v="14"/>
    <x v="0"/>
    <n v="8"/>
    <x v="0"/>
    <s v="n"/>
  </r>
  <r>
    <x v="0"/>
    <x v="46"/>
    <x v="1"/>
    <x v="7"/>
    <x v="15"/>
    <x v="0"/>
    <n v="8"/>
    <x v="0"/>
    <s v="n"/>
  </r>
  <r>
    <x v="0"/>
    <x v="47"/>
    <x v="1"/>
    <x v="7"/>
    <x v="16"/>
    <x v="0"/>
    <n v="8"/>
    <x v="0"/>
    <s v="n"/>
  </r>
  <r>
    <x v="0"/>
    <x v="48"/>
    <x v="1"/>
    <x v="7"/>
    <x v="17"/>
    <x v="0"/>
    <n v="8"/>
    <x v="0"/>
    <s v="n"/>
  </r>
  <r>
    <x v="0"/>
    <x v="49"/>
    <x v="1"/>
    <x v="7"/>
    <x v="18"/>
    <x v="0"/>
    <n v="8"/>
    <x v="0"/>
    <s v="n"/>
  </r>
  <r>
    <x v="0"/>
    <x v="50"/>
    <x v="1"/>
    <x v="7"/>
    <x v="19"/>
    <x v="0"/>
    <n v="8"/>
    <x v="0"/>
    <s v="n"/>
  </r>
  <r>
    <x v="0"/>
    <x v="51"/>
    <x v="1"/>
    <x v="7"/>
    <x v="20"/>
    <x v="0"/>
    <n v="8"/>
    <x v="0"/>
    <s v="n"/>
  </r>
  <r>
    <x v="0"/>
    <x v="52"/>
    <x v="1"/>
    <x v="8"/>
    <x v="21"/>
    <x v="0"/>
    <n v="8"/>
    <x v="0"/>
    <s v="n"/>
  </r>
  <r>
    <x v="0"/>
    <x v="53"/>
    <x v="1"/>
    <x v="8"/>
    <x v="22"/>
    <x v="0"/>
    <n v="8"/>
    <x v="0"/>
    <s v="n"/>
  </r>
  <r>
    <x v="0"/>
    <x v="54"/>
    <x v="1"/>
    <x v="8"/>
    <x v="23"/>
    <x v="0"/>
    <n v="8"/>
    <x v="0"/>
    <s v="n"/>
  </r>
  <r>
    <x v="0"/>
    <x v="55"/>
    <x v="1"/>
    <x v="8"/>
    <x v="24"/>
    <x v="0"/>
    <n v="8"/>
    <x v="0"/>
    <s v="n"/>
  </r>
  <r>
    <x v="0"/>
    <x v="56"/>
    <x v="1"/>
    <x v="8"/>
    <x v="25"/>
    <x v="0"/>
    <n v="8"/>
    <x v="0"/>
    <s v="n"/>
  </r>
  <r>
    <x v="0"/>
    <x v="57"/>
    <x v="1"/>
    <x v="8"/>
    <x v="26"/>
    <x v="0"/>
    <n v="8"/>
    <x v="0"/>
    <s v="n"/>
  </r>
  <r>
    <x v="0"/>
    <x v="58"/>
    <x v="1"/>
    <x v="8"/>
    <x v="27"/>
    <x v="0"/>
    <n v="8"/>
    <x v="0"/>
    <s v="n"/>
  </r>
  <r>
    <x v="1"/>
    <x v="0"/>
    <x v="0"/>
    <x v="0"/>
    <x v="0"/>
    <x v="0"/>
    <n v="8"/>
    <x v="1"/>
    <s v="n"/>
  </r>
  <r>
    <x v="1"/>
    <x v="1"/>
    <x v="0"/>
    <x v="0"/>
    <x v="1"/>
    <x v="0"/>
    <n v="8"/>
    <x v="1"/>
    <s v="n"/>
  </r>
  <r>
    <x v="1"/>
    <x v="2"/>
    <x v="0"/>
    <x v="0"/>
    <x v="2"/>
    <x v="0"/>
    <n v="8"/>
    <x v="1"/>
    <s v="n"/>
  </r>
  <r>
    <x v="1"/>
    <x v="3"/>
    <x v="0"/>
    <x v="1"/>
    <x v="3"/>
    <x v="2"/>
    <n v="8"/>
    <x v="1"/>
    <s v="n"/>
  </r>
  <r>
    <x v="1"/>
    <x v="4"/>
    <x v="0"/>
    <x v="1"/>
    <x v="4"/>
    <x v="2"/>
    <n v="8"/>
    <x v="1"/>
    <s v="n"/>
  </r>
  <r>
    <x v="1"/>
    <x v="5"/>
    <x v="0"/>
    <x v="1"/>
    <x v="5"/>
    <x v="2"/>
    <n v="8"/>
    <x v="1"/>
    <s v="n"/>
  </r>
  <r>
    <x v="1"/>
    <x v="6"/>
    <x v="0"/>
    <x v="1"/>
    <x v="6"/>
    <x v="2"/>
    <n v="8"/>
    <x v="1"/>
    <s v="n"/>
  </r>
  <r>
    <x v="1"/>
    <x v="7"/>
    <x v="0"/>
    <x v="1"/>
    <x v="7"/>
    <x v="2"/>
    <n v="8"/>
    <x v="1"/>
    <s v="n"/>
  </r>
  <r>
    <x v="1"/>
    <x v="8"/>
    <x v="0"/>
    <x v="1"/>
    <x v="8"/>
    <x v="0"/>
    <n v="8"/>
    <x v="1"/>
    <s v="n"/>
  </r>
  <r>
    <x v="1"/>
    <x v="9"/>
    <x v="0"/>
    <x v="1"/>
    <x v="9"/>
    <x v="0"/>
    <n v="8"/>
    <x v="1"/>
    <s v="n"/>
  </r>
  <r>
    <x v="1"/>
    <x v="10"/>
    <x v="0"/>
    <x v="2"/>
    <x v="10"/>
    <x v="0"/>
    <n v="8"/>
    <x v="1"/>
    <s v="n"/>
  </r>
  <r>
    <x v="1"/>
    <x v="11"/>
    <x v="0"/>
    <x v="2"/>
    <x v="11"/>
    <x v="0"/>
    <n v="8"/>
    <x v="1"/>
    <s v="n"/>
  </r>
  <r>
    <x v="1"/>
    <x v="12"/>
    <x v="0"/>
    <x v="2"/>
    <x v="12"/>
    <x v="0"/>
    <n v="8"/>
    <x v="1"/>
    <s v="n"/>
  </r>
  <r>
    <x v="1"/>
    <x v="13"/>
    <x v="0"/>
    <x v="2"/>
    <x v="13"/>
    <x v="0"/>
    <n v="8"/>
    <x v="1"/>
    <s v="n"/>
  </r>
  <r>
    <x v="1"/>
    <x v="14"/>
    <x v="0"/>
    <x v="2"/>
    <x v="14"/>
    <x v="0"/>
    <n v="8"/>
    <x v="1"/>
    <s v="n"/>
  </r>
  <r>
    <x v="1"/>
    <x v="15"/>
    <x v="0"/>
    <x v="2"/>
    <x v="15"/>
    <x v="0"/>
    <n v="8"/>
    <x v="1"/>
    <s v="n"/>
  </r>
  <r>
    <x v="1"/>
    <x v="16"/>
    <x v="0"/>
    <x v="2"/>
    <x v="16"/>
    <x v="0"/>
    <n v="8"/>
    <x v="1"/>
    <s v="n"/>
  </r>
  <r>
    <x v="1"/>
    <x v="17"/>
    <x v="0"/>
    <x v="3"/>
    <x v="17"/>
    <x v="0"/>
    <n v="8"/>
    <x v="1"/>
    <s v="n"/>
  </r>
  <r>
    <x v="1"/>
    <x v="18"/>
    <x v="0"/>
    <x v="3"/>
    <x v="18"/>
    <x v="0"/>
    <n v="8"/>
    <x v="1"/>
    <s v="n"/>
  </r>
  <r>
    <x v="1"/>
    <x v="19"/>
    <x v="0"/>
    <x v="3"/>
    <x v="19"/>
    <x v="0"/>
    <n v="8"/>
    <x v="1"/>
    <s v="n"/>
  </r>
  <r>
    <x v="1"/>
    <x v="20"/>
    <x v="0"/>
    <x v="3"/>
    <x v="20"/>
    <x v="0"/>
    <n v="8"/>
    <x v="1"/>
    <s v="n"/>
  </r>
  <r>
    <x v="1"/>
    <x v="21"/>
    <x v="0"/>
    <x v="3"/>
    <x v="21"/>
    <x v="0"/>
    <n v="8"/>
    <x v="1"/>
    <s v="n"/>
  </r>
  <r>
    <x v="1"/>
    <x v="22"/>
    <x v="0"/>
    <x v="3"/>
    <x v="22"/>
    <x v="0"/>
    <n v="8"/>
    <x v="1"/>
    <s v="n"/>
  </r>
  <r>
    <x v="1"/>
    <x v="23"/>
    <x v="0"/>
    <x v="3"/>
    <x v="23"/>
    <x v="0"/>
    <n v="8"/>
    <x v="1"/>
    <s v="n"/>
  </r>
  <r>
    <x v="1"/>
    <x v="24"/>
    <x v="0"/>
    <x v="4"/>
    <x v="24"/>
    <x v="0"/>
    <n v="8"/>
    <x v="1"/>
    <s v="n"/>
  </r>
  <r>
    <x v="1"/>
    <x v="25"/>
    <x v="0"/>
    <x v="4"/>
    <x v="25"/>
    <x v="0"/>
    <n v="8"/>
    <x v="1"/>
    <s v="n"/>
  </r>
  <r>
    <x v="1"/>
    <x v="26"/>
    <x v="0"/>
    <x v="4"/>
    <x v="26"/>
    <x v="0"/>
    <n v="8"/>
    <x v="1"/>
    <s v="n"/>
  </r>
  <r>
    <x v="1"/>
    <x v="27"/>
    <x v="0"/>
    <x v="4"/>
    <x v="27"/>
    <x v="0"/>
    <n v="8"/>
    <x v="1"/>
    <s v="n"/>
  </r>
  <r>
    <x v="1"/>
    <x v="28"/>
    <x v="0"/>
    <x v="4"/>
    <x v="28"/>
    <x v="1"/>
    <n v="8"/>
    <x v="1"/>
    <s v="j"/>
  </r>
  <r>
    <x v="1"/>
    <x v="29"/>
    <x v="0"/>
    <x v="4"/>
    <x v="29"/>
    <x v="1"/>
    <n v="8"/>
    <x v="1"/>
    <s v="j"/>
  </r>
  <r>
    <x v="1"/>
    <x v="30"/>
    <x v="0"/>
    <x v="4"/>
    <x v="30"/>
    <x v="1"/>
    <n v="8"/>
    <x v="1"/>
    <s v="j"/>
  </r>
  <r>
    <x v="1"/>
    <x v="31"/>
    <x v="1"/>
    <x v="5"/>
    <x v="0"/>
    <x v="1"/>
    <n v="8"/>
    <x v="1"/>
    <s v="j"/>
  </r>
  <r>
    <x v="1"/>
    <x v="32"/>
    <x v="1"/>
    <x v="5"/>
    <x v="1"/>
    <x v="1"/>
    <n v="8"/>
    <x v="1"/>
    <s v="j"/>
  </r>
  <r>
    <x v="1"/>
    <x v="33"/>
    <x v="1"/>
    <x v="5"/>
    <x v="2"/>
    <x v="1"/>
    <n v="8"/>
    <x v="1"/>
    <s v="j"/>
  </r>
  <r>
    <x v="1"/>
    <x v="34"/>
    <x v="1"/>
    <x v="5"/>
    <x v="3"/>
    <x v="1"/>
    <n v="8"/>
    <x v="1"/>
    <s v="j"/>
  </r>
  <r>
    <x v="1"/>
    <x v="35"/>
    <x v="1"/>
    <x v="5"/>
    <x v="4"/>
    <x v="1"/>
    <n v="8"/>
    <x v="1"/>
    <s v="j"/>
  </r>
  <r>
    <x v="1"/>
    <x v="36"/>
    <x v="1"/>
    <x v="5"/>
    <x v="5"/>
    <x v="0"/>
    <n v="8"/>
    <x v="1"/>
    <s v="n"/>
  </r>
  <r>
    <x v="1"/>
    <x v="37"/>
    <x v="1"/>
    <x v="5"/>
    <x v="6"/>
    <x v="0"/>
    <n v="8"/>
    <x v="1"/>
    <s v="n"/>
  </r>
  <r>
    <x v="1"/>
    <x v="38"/>
    <x v="1"/>
    <x v="6"/>
    <x v="7"/>
    <x v="0"/>
    <n v="8"/>
    <x v="1"/>
    <s v="n"/>
  </r>
  <r>
    <x v="1"/>
    <x v="39"/>
    <x v="1"/>
    <x v="6"/>
    <x v="8"/>
    <x v="0"/>
    <n v="8"/>
    <x v="1"/>
    <s v="n"/>
  </r>
  <r>
    <x v="1"/>
    <x v="40"/>
    <x v="1"/>
    <x v="6"/>
    <x v="9"/>
    <x v="0"/>
    <n v="8"/>
    <x v="1"/>
    <s v="n"/>
  </r>
  <r>
    <x v="1"/>
    <x v="41"/>
    <x v="1"/>
    <x v="6"/>
    <x v="10"/>
    <x v="0"/>
    <n v="8"/>
    <x v="1"/>
    <s v="n"/>
  </r>
  <r>
    <x v="1"/>
    <x v="42"/>
    <x v="1"/>
    <x v="6"/>
    <x v="11"/>
    <x v="0"/>
    <n v="8"/>
    <x v="1"/>
    <s v="n"/>
  </r>
  <r>
    <x v="1"/>
    <x v="43"/>
    <x v="1"/>
    <x v="6"/>
    <x v="12"/>
    <x v="0"/>
    <n v="8"/>
    <x v="1"/>
    <s v="n"/>
  </r>
  <r>
    <x v="1"/>
    <x v="44"/>
    <x v="1"/>
    <x v="6"/>
    <x v="13"/>
    <x v="0"/>
    <n v="8"/>
    <x v="1"/>
    <s v="n"/>
  </r>
  <r>
    <x v="1"/>
    <x v="45"/>
    <x v="1"/>
    <x v="7"/>
    <x v="14"/>
    <x v="0"/>
    <n v="8"/>
    <x v="1"/>
    <s v="n"/>
  </r>
  <r>
    <x v="1"/>
    <x v="46"/>
    <x v="1"/>
    <x v="7"/>
    <x v="15"/>
    <x v="0"/>
    <n v="8"/>
    <x v="1"/>
    <s v="n"/>
  </r>
  <r>
    <x v="1"/>
    <x v="47"/>
    <x v="1"/>
    <x v="7"/>
    <x v="16"/>
    <x v="0"/>
    <n v="8"/>
    <x v="1"/>
    <s v="n"/>
  </r>
  <r>
    <x v="1"/>
    <x v="48"/>
    <x v="1"/>
    <x v="7"/>
    <x v="17"/>
    <x v="0"/>
    <n v="8"/>
    <x v="1"/>
    <s v="n"/>
  </r>
  <r>
    <x v="1"/>
    <x v="49"/>
    <x v="1"/>
    <x v="7"/>
    <x v="18"/>
    <x v="0"/>
    <n v="8"/>
    <x v="1"/>
    <s v="n"/>
  </r>
  <r>
    <x v="1"/>
    <x v="50"/>
    <x v="1"/>
    <x v="7"/>
    <x v="19"/>
    <x v="0"/>
    <n v="8"/>
    <x v="1"/>
    <s v="n"/>
  </r>
  <r>
    <x v="1"/>
    <x v="51"/>
    <x v="1"/>
    <x v="7"/>
    <x v="20"/>
    <x v="0"/>
    <n v="8"/>
    <x v="1"/>
    <s v="n"/>
  </r>
  <r>
    <x v="1"/>
    <x v="52"/>
    <x v="1"/>
    <x v="8"/>
    <x v="21"/>
    <x v="0"/>
    <n v="8"/>
    <x v="1"/>
    <s v="n"/>
  </r>
  <r>
    <x v="1"/>
    <x v="53"/>
    <x v="1"/>
    <x v="8"/>
    <x v="22"/>
    <x v="0"/>
    <n v="8"/>
    <x v="1"/>
    <s v="n"/>
  </r>
  <r>
    <x v="1"/>
    <x v="54"/>
    <x v="1"/>
    <x v="8"/>
    <x v="23"/>
    <x v="0"/>
    <n v="8"/>
    <x v="1"/>
    <s v="n"/>
  </r>
  <r>
    <x v="1"/>
    <x v="55"/>
    <x v="1"/>
    <x v="8"/>
    <x v="24"/>
    <x v="0"/>
    <n v="8"/>
    <x v="1"/>
    <s v="n"/>
  </r>
  <r>
    <x v="1"/>
    <x v="56"/>
    <x v="1"/>
    <x v="8"/>
    <x v="25"/>
    <x v="0"/>
    <n v="8"/>
    <x v="1"/>
    <s v="n"/>
  </r>
  <r>
    <x v="1"/>
    <x v="57"/>
    <x v="1"/>
    <x v="8"/>
    <x v="26"/>
    <x v="0"/>
    <n v="8"/>
    <x v="1"/>
    <s v="n"/>
  </r>
  <r>
    <x v="1"/>
    <x v="58"/>
    <x v="1"/>
    <x v="8"/>
    <x v="27"/>
    <x v="0"/>
    <n v="8"/>
    <x v="1"/>
    <s v="n"/>
  </r>
  <r>
    <x v="2"/>
    <x v="0"/>
    <x v="0"/>
    <x v="0"/>
    <x v="0"/>
    <x v="0"/>
    <n v="8"/>
    <x v="1"/>
    <s v="n"/>
  </r>
  <r>
    <x v="2"/>
    <x v="1"/>
    <x v="0"/>
    <x v="0"/>
    <x v="1"/>
    <x v="0"/>
    <n v="8"/>
    <x v="1"/>
    <s v="n"/>
  </r>
  <r>
    <x v="2"/>
    <x v="2"/>
    <x v="0"/>
    <x v="0"/>
    <x v="2"/>
    <x v="0"/>
    <n v="8"/>
    <x v="1"/>
    <s v="n"/>
  </r>
  <r>
    <x v="2"/>
    <x v="3"/>
    <x v="0"/>
    <x v="1"/>
    <x v="3"/>
    <x v="0"/>
    <n v="8"/>
    <x v="1"/>
    <s v="n"/>
  </r>
  <r>
    <x v="2"/>
    <x v="4"/>
    <x v="0"/>
    <x v="1"/>
    <x v="4"/>
    <x v="0"/>
    <n v="8"/>
    <x v="1"/>
    <s v="n"/>
  </r>
  <r>
    <x v="2"/>
    <x v="5"/>
    <x v="0"/>
    <x v="1"/>
    <x v="5"/>
    <x v="0"/>
    <n v="8"/>
    <x v="1"/>
    <s v="n"/>
  </r>
  <r>
    <x v="2"/>
    <x v="6"/>
    <x v="0"/>
    <x v="1"/>
    <x v="6"/>
    <x v="0"/>
    <n v="8"/>
    <x v="1"/>
    <s v="n"/>
  </r>
  <r>
    <x v="2"/>
    <x v="7"/>
    <x v="0"/>
    <x v="1"/>
    <x v="7"/>
    <x v="0"/>
    <n v="8"/>
    <x v="1"/>
    <s v="n"/>
  </r>
  <r>
    <x v="2"/>
    <x v="8"/>
    <x v="0"/>
    <x v="1"/>
    <x v="8"/>
    <x v="0"/>
    <n v="8"/>
    <x v="1"/>
    <s v="n"/>
  </r>
  <r>
    <x v="2"/>
    <x v="9"/>
    <x v="0"/>
    <x v="1"/>
    <x v="9"/>
    <x v="0"/>
    <n v="8"/>
    <x v="1"/>
    <s v="n"/>
  </r>
  <r>
    <x v="2"/>
    <x v="10"/>
    <x v="0"/>
    <x v="2"/>
    <x v="10"/>
    <x v="2"/>
    <n v="8"/>
    <x v="1"/>
    <s v="n"/>
  </r>
  <r>
    <x v="2"/>
    <x v="11"/>
    <x v="0"/>
    <x v="2"/>
    <x v="11"/>
    <x v="2"/>
    <n v="8"/>
    <x v="1"/>
    <s v="n"/>
  </r>
  <r>
    <x v="2"/>
    <x v="12"/>
    <x v="0"/>
    <x v="2"/>
    <x v="12"/>
    <x v="2"/>
    <n v="8"/>
    <x v="1"/>
    <s v="n"/>
  </r>
  <r>
    <x v="2"/>
    <x v="13"/>
    <x v="0"/>
    <x v="2"/>
    <x v="13"/>
    <x v="2"/>
    <n v="8"/>
    <x v="1"/>
    <s v="n"/>
  </r>
  <r>
    <x v="2"/>
    <x v="14"/>
    <x v="0"/>
    <x v="2"/>
    <x v="14"/>
    <x v="0"/>
    <n v="8"/>
    <x v="1"/>
    <s v="n"/>
  </r>
  <r>
    <x v="2"/>
    <x v="15"/>
    <x v="0"/>
    <x v="2"/>
    <x v="15"/>
    <x v="0"/>
    <n v="8"/>
    <x v="1"/>
    <s v="n"/>
  </r>
  <r>
    <x v="2"/>
    <x v="16"/>
    <x v="0"/>
    <x v="2"/>
    <x v="16"/>
    <x v="0"/>
    <n v="8"/>
    <x v="1"/>
    <s v="n"/>
  </r>
  <r>
    <x v="2"/>
    <x v="17"/>
    <x v="0"/>
    <x v="3"/>
    <x v="17"/>
    <x v="0"/>
    <n v="8"/>
    <x v="1"/>
    <s v="n"/>
  </r>
  <r>
    <x v="2"/>
    <x v="18"/>
    <x v="0"/>
    <x v="3"/>
    <x v="18"/>
    <x v="0"/>
    <n v="8"/>
    <x v="1"/>
    <s v="n"/>
  </r>
  <r>
    <x v="2"/>
    <x v="19"/>
    <x v="0"/>
    <x v="3"/>
    <x v="19"/>
    <x v="0"/>
    <n v="8"/>
    <x v="1"/>
    <s v="n"/>
  </r>
  <r>
    <x v="2"/>
    <x v="20"/>
    <x v="0"/>
    <x v="3"/>
    <x v="20"/>
    <x v="0"/>
    <n v="8"/>
    <x v="1"/>
    <s v="n"/>
  </r>
  <r>
    <x v="2"/>
    <x v="21"/>
    <x v="0"/>
    <x v="3"/>
    <x v="21"/>
    <x v="0"/>
    <n v="8"/>
    <x v="1"/>
    <s v="n"/>
  </r>
  <r>
    <x v="2"/>
    <x v="22"/>
    <x v="0"/>
    <x v="3"/>
    <x v="22"/>
    <x v="0"/>
    <n v="8"/>
    <x v="1"/>
    <s v="n"/>
  </r>
  <r>
    <x v="2"/>
    <x v="23"/>
    <x v="0"/>
    <x v="3"/>
    <x v="23"/>
    <x v="0"/>
    <n v="8"/>
    <x v="1"/>
    <s v="n"/>
  </r>
  <r>
    <x v="2"/>
    <x v="24"/>
    <x v="0"/>
    <x v="4"/>
    <x v="24"/>
    <x v="0"/>
    <n v="8"/>
    <x v="1"/>
    <s v="n"/>
  </r>
  <r>
    <x v="2"/>
    <x v="25"/>
    <x v="0"/>
    <x v="4"/>
    <x v="25"/>
    <x v="0"/>
    <n v="8"/>
    <x v="1"/>
    <s v="n"/>
  </r>
  <r>
    <x v="2"/>
    <x v="26"/>
    <x v="0"/>
    <x v="4"/>
    <x v="26"/>
    <x v="0"/>
    <n v="8"/>
    <x v="1"/>
    <s v="n"/>
  </r>
  <r>
    <x v="2"/>
    <x v="27"/>
    <x v="0"/>
    <x v="4"/>
    <x v="27"/>
    <x v="0"/>
    <n v="8"/>
    <x v="1"/>
    <s v="n"/>
  </r>
  <r>
    <x v="2"/>
    <x v="28"/>
    <x v="0"/>
    <x v="4"/>
    <x v="28"/>
    <x v="0"/>
    <n v="8"/>
    <x v="1"/>
    <s v="n"/>
  </r>
  <r>
    <x v="2"/>
    <x v="29"/>
    <x v="0"/>
    <x v="4"/>
    <x v="29"/>
    <x v="0"/>
    <n v="8"/>
    <x v="1"/>
    <s v="n"/>
  </r>
  <r>
    <x v="2"/>
    <x v="30"/>
    <x v="0"/>
    <x v="4"/>
    <x v="30"/>
    <x v="0"/>
    <n v="8"/>
    <x v="1"/>
    <s v="n"/>
  </r>
  <r>
    <x v="2"/>
    <x v="31"/>
    <x v="1"/>
    <x v="5"/>
    <x v="0"/>
    <x v="0"/>
    <n v="8"/>
    <x v="1"/>
    <s v="n"/>
  </r>
  <r>
    <x v="2"/>
    <x v="32"/>
    <x v="1"/>
    <x v="5"/>
    <x v="1"/>
    <x v="0"/>
    <n v="8"/>
    <x v="1"/>
    <s v="n"/>
  </r>
  <r>
    <x v="2"/>
    <x v="33"/>
    <x v="1"/>
    <x v="5"/>
    <x v="2"/>
    <x v="0"/>
    <n v="8"/>
    <x v="1"/>
    <s v="n"/>
  </r>
  <r>
    <x v="2"/>
    <x v="34"/>
    <x v="1"/>
    <x v="5"/>
    <x v="3"/>
    <x v="0"/>
    <n v="8"/>
    <x v="1"/>
    <s v="n"/>
  </r>
  <r>
    <x v="2"/>
    <x v="35"/>
    <x v="1"/>
    <x v="5"/>
    <x v="4"/>
    <x v="0"/>
    <n v="8"/>
    <x v="1"/>
    <s v="n"/>
  </r>
  <r>
    <x v="2"/>
    <x v="36"/>
    <x v="1"/>
    <x v="5"/>
    <x v="5"/>
    <x v="0"/>
    <n v="8"/>
    <x v="1"/>
    <s v="n"/>
  </r>
  <r>
    <x v="2"/>
    <x v="37"/>
    <x v="1"/>
    <x v="5"/>
    <x v="6"/>
    <x v="0"/>
    <n v="8"/>
    <x v="1"/>
    <s v="n"/>
  </r>
  <r>
    <x v="2"/>
    <x v="38"/>
    <x v="1"/>
    <x v="6"/>
    <x v="7"/>
    <x v="0"/>
    <n v="8"/>
    <x v="1"/>
    <s v="n"/>
  </r>
  <r>
    <x v="2"/>
    <x v="39"/>
    <x v="1"/>
    <x v="6"/>
    <x v="8"/>
    <x v="0"/>
    <n v="8"/>
    <x v="1"/>
    <s v="n"/>
  </r>
  <r>
    <x v="2"/>
    <x v="40"/>
    <x v="1"/>
    <x v="6"/>
    <x v="9"/>
    <x v="0"/>
    <n v="8"/>
    <x v="1"/>
    <s v="n"/>
  </r>
  <r>
    <x v="2"/>
    <x v="41"/>
    <x v="1"/>
    <x v="6"/>
    <x v="10"/>
    <x v="0"/>
    <n v="8"/>
    <x v="1"/>
    <s v="n"/>
  </r>
  <r>
    <x v="2"/>
    <x v="42"/>
    <x v="1"/>
    <x v="6"/>
    <x v="11"/>
    <x v="0"/>
    <n v="8"/>
    <x v="1"/>
    <s v="n"/>
  </r>
  <r>
    <x v="2"/>
    <x v="43"/>
    <x v="1"/>
    <x v="6"/>
    <x v="12"/>
    <x v="0"/>
    <n v="8"/>
    <x v="1"/>
    <s v="n"/>
  </r>
  <r>
    <x v="2"/>
    <x v="44"/>
    <x v="1"/>
    <x v="6"/>
    <x v="13"/>
    <x v="1"/>
    <n v="8"/>
    <x v="1"/>
    <s v="j"/>
  </r>
  <r>
    <x v="2"/>
    <x v="45"/>
    <x v="1"/>
    <x v="7"/>
    <x v="14"/>
    <x v="1"/>
    <n v="8"/>
    <x v="1"/>
    <s v="j"/>
  </r>
  <r>
    <x v="2"/>
    <x v="46"/>
    <x v="1"/>
    <x v="7"/>
    <x v="15"/>
    <x v="1"/>
    <n v="8"/>
    <x v="1"/>
    <s v="j"/>
  </r>
  <r>
    <x v="2"/>
    <x v="47"/>
    <x v="1"/>
    <x v="7"/>
    <x v="16"/>
    <x v="1"/>
    <n v="8"/>
    <x v="1"/>
    <s v="j"/>
  </r>
  <r>
    <x v="2"/>
    <x v="48"/>
    <x v="1"/>
    <x v="7"/>
    <x v="17"/>
    <x v="1"/>
    <n v="8"/>
    <x v="1"/>
    <s v="j"/>
  </r>
  <r>
    <x v="2"/>
    <x v="49"/>
    <x v="1"/>
    <x v="7"/>
    <x v="18"/>
    <x v="1"/>
    <n v="8"/>
    <x v="1"/>
    <s v="j"/>
  </r>
  <r>
    <x v="2"/>
    <x v="50"/>
    <x v="1"/>
    <x v="7"/>
    <x v="19"/>
    <x v="1"/>
    <n v="8"/>
    <x v="1"/>
    <s v="j"/>
  </r>
  <r>
    <x v="2"/>
    <x v="51"/>
    <x v="1"/>
    <x v="7"/>
    <x v="20"/>
    <x v="1"/>
    <n v="8"/>
    <x v="1"/>
    <s v="j"/>
  </r>
  <r>
    <x v="2"/>
    <x v="52"/>
    <x v="1"/>
    <x v="8"/>
    <x v="21"/>
    <x v="0"/>
    <n v="8"/>
    <x v="1"/>
    <s v="n"/>
  </r>
  <r>
    <x v="2"/>
    <x v="53"/>
    <x v="1"/>
    <x v="8"/>
    <x v="22"/>
    <x v="0"/>
    <n v="8"/>
    <x v="1"/>
    <s v="n"/>
  </r>
  <r>
    <x v="2"/>
    <x v="54"/>
    <x v="1"/>
    <x v="8"/>
    <x v="23"/>
    <x v="0"/>
    <n v="8"/>
    <x v="1"/>
    <s v="n"/>
  </r>
  <r>
    <x v="2"/>
    <x v="55"/>
    <x v="1"/>
    <x v="8"/>
    <x v="24"/>
    <x v="0"/>
    <n v="8"/>
    <x v="1"/>
    <s v="n"/>
  </r>
  <r>
    <x v="2"/>
    <x v="56"/>
    <x v="1"/>
    <x v="8"/>
    <x v="25"/>
    <x v="0"/>
    <n v="8"/>
    <x v="1"/>
    <s v="n"/>
  </r>
  <r>
    <x v="2"/>
    <x v="57"/>
    <x v="1"/>
    <x v="8"/>
    <x v="26"/>
    <x v="0"/>
    <n v="8"/>
    <x v="1"/>
    <s v="n"/>
  </r>
  <r>
    <x v="2"/>
    <x v="58"/>
    <x v="1"/>
    <x v="8"/>
    <x v="27"/>
    <x v="0"/>
    <n v="8"/>
    <x v="1"/>
    <s v="n"/>
  </r>
  <r>
    <x v="3"/>
    <x v="0"/>
    <x v="0"/>
    <x v="0"/>
    <x v="0"/>
    <x v="0"/>
    <n v="8"/>
    <x v="2"/>
    <s v="n"/>
  </r>
  <r>
    <x v="3"/>
    <x v="1"/>
    <x v="0"/>
    <x v="0"/>
    <x v="1"/>
    <x v="0"/>
    <n v="8"/>
    <x v="2"/>
    <s v="n"/>
  </r>
  <r>
    <x v="3"/>
    <x v="2"/>
    <x v="0"/>
    <x v="0"/>
    <x v="2"/>
    <x v="0"/>
    <n v="8"/>
    <x v="2"/>
    <s v="n"/>
  </r>
  <r>
    <x v="3"/>
    <x v="3"/>
    <x v="0"/>
    <x v="1"/>
    <x v="3"/>
    <x v="0"/>
    <n v="8"/>
    <x v="2"/>
    <s v="n"/>
  </r>
  <r>
    <x v="3"/>
    <x v="4"/>
    <x v="0"/>
    <x v="1"/>
    <x v="4"/>
    <x v="2"/>
    <n v="8"/>
    <x v="2"/>
    <s v="n"/>
  </r>
  <r>
    <x v="3"/>
    <x v="5"/>
    <x v="0"/>
    <x v="1"/>
    <x v="5"/>
    <x v="0"/>
    <n v="8"/>
    <x v="2"/>
    <s v="n"/>
  </r>
  <r>
    <x v="3"/>
    <x v="6"/>
    <x v="0"/>
    <x v="1"/>
    <x v="6"/>
    <x v="0"/>
    <n v="8"/>
    <x v="2"/>
    <s v="n"/>
  </r>
  <r>
    <x v="3"/>
    <x v="7"/>
    <x v="0"/>
    <x v="1"/>
    <x v="7"/>
    <x v="0"/>
    <n v="8"/>
    <x v="2"/>
    <s v="n"/>
  </r>
  <r>
    <x v="3"/>
    <x v="8"/>
    <x v="0"/>
    <x v="1"/>
    <x v="8"/>
    <x v="0"/>
    <n v="8"/>
    <x v="2"/>
    <s v="n"/>
  </r>
  <r>
    <x v="3"/>
    <x v="9"/>
    <x v="0"/>
    <x v="1"/>
    <x v="9"/>
    <x v="0"/>
    <n v="8"/>
    <x v="2"/>
    <s v="n"/>
  </r>
  <r>
    <x v="3"/>
    <x v="10"/>
    <x v="0"/>
    <x v="2"/>
    <x v="10"/>
    <x v="0"/>
    <n v="8"/>
    <x v="2"/>
    <s v="n"/>
  </r>
  <r>
    <x v="3"/>
    <x v="11"/>
    <x v="0"/>
    <x v="2"/>
    <x v="11"/>
    <x v="0"/>
    <n v="8"/>
    <x v="2"/>
    <s v="n"/>
  </r>
  <r>
    <x v="3"/>
    <x v="12"/>
    <x v="0"/>
    <x v="2"/>
    <x v="12"/>
    <x v="0"/>
    <n v="8"/>
    <x v="2"/>
    <s v="n"/>
  </r>
  <r>
    <x v="3"/>
    <x v="13"/>
    <x v="0"/>
    <x v="2"/>
    <x v="13"/>
    <x v="0"/>
    <n v="8"/>
    <x v="2"/>
    <s v="n"/>
  </r>
  <r>
    <x v="3"/>
    <x v="14"/>
    <x v="0"/>
    <x v="2"/>
    <x v="14"/>
    <x v="0"/>
    <n v="8"/>
    <x v="2"/>
    <s v="n"/>
  </r>
  <r>
    <x v="3"/>
    <x v="15"/>
    <x v="0"/>
    <x v="2"/>
    <x v="15"/>
    <x v="1"/>
    <n v="8"/>
    <x v="2"/>
    <s v="j"/>
  </r>
  <r>
    <x v="3"/>
    <x v="16"/>
    <x v="0"/>
    <x v="2"/>
    <x v="16"/>
    <x v="1"/>
    <n v="8"/>
    <x v="2"/>
    <s v="j"/>
  </r>
  <r>
    <x v="3"/>
    <x v="17"/>
    <x v="0"/>
    <x v="3"/>
    <x v="17"/>
    <x v="0"/>
    <n v="8"/>
    <x v="2"/>
    <s v="n"/>
  </r>
  <r>
    <x v="3"/>
    <x v="18"/>
    <x v="0"/>
    <x v="3"/>
    <x v="18"/>
    <x v="2"/>
    <n v="8"/>
    <x v="2"/>
    <s v="n"/>
  </r>
  <r>
    <x v="3"/>
    <x v="19"/>
    <x v="0"/>
    <x v="3"/>
    <x v="19"/>
    <x v="2"/>
    <n v="8"/>
    <x v="2"/>
    <s v="n"/>
  </r>
  <r>
    <x v="3"/>
    <x v="20"/>
    <x v="0"/>
    <x v="3"/>
    <x v="20"/>
    <x v="0"/>
    <n v="8"/>
    <x v="2"/>
    <s v="n"/>
  </r>
  <r>
    <x v="3"/>
    <x v="21"/>
    <x v="0"/>
    <x v="3"/>
    <x v="21"/>
    <x v="0"/>
    <n v="8"/>
    <x v="2"/>
    <s v="n"/>
  </r>
  <r>
    <x v="3"/>
    <x v="22"/>
    <x v="0"/>
    <x v="3"/>
    <x v="22"/>
    <x v="0"/>
    <n v="8"/>
    <x v="2"/>
    <s v="n"/>
  </r>
  <r>
    <x v="3"/>
    <x v="23"/>
    <x v="0"/>
    <x v="3"/>
    <x v="23"/>
    <x v="0"/>
    <n v="8"/>
    <x v="2"/>
    <s v="n"/>
  </r>
  <r>
    <x v="3"/>
    <x v="24"/>
    <x v="0"/>
    <x v="4"/>
    <x v="24"/>
    <x v="0"/>
    <n v="8"/>
    <x v="2"/>
    <s v="n"/>
  </r>
  <r>
    <x v="3"/>
    <x v="25"/>
    <x v="0"/>
    <x v="4"/>
    <x v="25"/>
    <x v="0"/>
    <n v="8"/>
    <x v="2"/>
    <s v="n"/>
  </r>
  <r>
    <x v="3"/>
    <x v="26"/>
    <x v="0"/>
    <x v="4"/>
    <x v="26"/>
    <x v="0"/>
    <n v="8"/>
    <x v="2"/>
    <s v="n"/>
  </r>
  <r>
    <x v="3"/>
    <x v="27"/>
    <x v="0"/>
    <x v="4"/>
    <x v="27"/>
    <x v="0"/>
    <n v="8"/>
    <x v="2"/>
    <s v="n"/>
  </r>
  <r>
    <x v="3"/>
    <x v="28"/>
    <x v="0"/>
    <x v="4"/>
    <x v="28"/>
    <x v="0"/>
    <n v="8"/>
    <x v="2"/>
    <s v="n"/>
  </r>
  <r>
    <x v="3"/>
    <x v="29"/>
    <x v="0"/>
    <x v="4"/>
    <x v="29"/>
    <x v="0"/>
    <n v="8"/>
    <x v="2"/>
    <s v="n"/>
  </r>
  <r>
    <x v="3"/>
    <x v="30"/>
    <x v="0"/>
    <x v="4"/>
    <x v="30"/>
    <x v="0"/>
    <n v="8"/>
    <x v="2"/>
    <s v="n"/>
  </r>
  <r>
    <x v="3"/>
    <x v="31"/>
    <x v="1"/>
    <x v="5"/>
    <x v="0"/>
    <x v="0"/>
    <n v="8"/>
    <x v="2"/>
    <s v="n"/>
  </r>
  <r>
    <x v="3"/>
    <x v="32"/>
    <x v="1"/>
    <x v="5"/>
    <x v="1"/>
    <x v="0"/>
    <n v="8"/>
    <x v="2"/>
    <s v="n"/>
  </r>
  <r>
    <x v="3"/>
    <x v="33"/>
    <x v="1"/>
    <x v="5"/>
    <x v="2"/>
    <x v="0"/>
    <n v="8"/>
    <x v="2"/>
    <s v="n"/>
  </r>
  <r>
    <x v="3"/>
    <x v="34"/>
    <x v="1"/>
    <x v="5"/>
    <x v="3"/>
    <x v="0"/>
    <n v="8"/>
    <x v="2"/>
    <s v="n"/>
  </r>
  <r>
    <x v="3"/>
    <x v="35"/>
    <x v="1"/>
    <x v="5"/>
    <x v="4"/>
    <x v="0"/>
    <n v="8"/>
    <x v="2"/>
    <s v="n"/>
  </r>
  <r>
    <x v="3"/>
    <x v="36"/>
    <x v="1"/>
    <x v="5"/>
    <x v="5"/>
    <x v="0"/>
    <n v="8"/>
    <x v="2"/>
    <s v="n"/>
  </r>
  <r>
    <x v="3"/>
    <x v="37"/>
    <x v="1"/>
    <x v="5"/>
    <x v="6"/>
    <x v="0"/>
    <n v="8"/>
    <x v="2"/>
    <s v="n"/>
  </r>
  <r>
    <x v="3"/>
    <x v="38"/>
    <x v="1"/>
    <x v="6"/>
    <x v="7"/>
    <x v="0"/>
    <n v="8"/>
    <x v="2"/>
    <s v="n"/>
  </r>
  <r>
    <x v="3"/>
    <x v="39"/>
    <x v="1"/>
    <x v="6"/>
    <x v="8"/>
    <x v="0"/>
    <n v="8"/>
    <x v="2"/>
    <s v="n"/>
  </r>
  <r>
    <x v="3"/>
    <x v="40"/>
    <x v="1"/>
    <x v="6"/>
    <x v="9"/>
    <x v="0"/>
    <n v="8"/>
    <x v="2"/>
    <s v="n"/>
  </r>
  <r>
    <x v="3"/>
    <x v="41"/>
    <x v="1"/>
    <x v="6"/>
    <x v="10"/>
    <x v="0"/>
    <n v="8"/>
    <x v="2"/>
    <s v="n"/>
  </r>
  <r>
    <x v="3"/>
    <x v="42"/>
    <x v="1"/>
    <x v="6"/>
    <x v="11"/>
    <x v="0"/>
    <n v="8"/>
    <x v="2"/>
    <s v="n"/>
  </r>
  <r>
    <x v="3"/>
    <x v="43"/>
    <x v="1"/>
    <x v="6"/>
    <x v="12"/>
    <x v="0"/>
    <n v="8"/>
    <x v="2"/>
    <s v="n"/>
  </r>
  <r>
    <x v="3"/>
    <x v="44"/>
    <x v="1"/>
    <x v="6"/>
    <x v="13"/>
    <x v="0"/>
    <n v="8"/>
    <x v="2"/>
    <s v="n"/>
  </r>
  <r>
    <x v="3"/>
    <x v="45"/>
    <x v="1"/>
    <x v="7"/>
    <x v="14"/>
    <x v="0"/>
    <n v="8"/>
    <x v="2"/>
    <s v="n"/>
  </r>
  <r>
    <x v="3"/>
    <x v="46"/>
    <x v="1"/>
    <x v="7"/>
    <x v="15"/>
    <x v="0"/>
    <n v="8"/>
    <x v="2"/>
    <s v="n"/>
  </r>
  <r>
    <x v="3"/>
    <x v="47"/>
    <x v="1"/>
    <x v="7"/>
    <x v="16"/>
    <x v="0"/>
    <n v="8"/>
    <x v="2"/>
    <s v="n"/>
  </r>
  <r>
    <x v="3"/>
    <x v="48"/>
    <x v="1"/>
    <x v="7"/>
    <x v="17"/>
    <x v="2"/>
    <n v="8"/>
    <x v="2"/>
    <s v="n"/>
  </r>
  <r>
    <x v="3"/>
    <x v="49"/>
    <x v="1"/>
    <x v="7"/>
    <x v="18"/>
    <x v="2"/>
    <n v="8"/>
    <x v="2"/>
    <s v="n"/>
  </r>
  <r>
    <x v="3"/>
    <x v="50"/>
    <x v="1"/>
    <x v="7"/>
    <x v="19"/>
    <x v="0"/>
    <n v="8"/>
    <x v="2"/>
    <s v="n"/>
  </r>
  <r>
    <x v="3"/>
    <x v="51"/>
    <x v="1"/>
    <x v="7"/>
    <x v="20"/>
    <x v="0"/>
    <n v="8"/>
    <x v="2"/>
    <s v="n"/>
  </r>
  <r>
    <x v="3"/>
    <x v="52"/>
    <x v="1"/>
    <x v="8"/>
    <x v="21"/>
    <x v="0"/>
    <n v="8"/>
    <x v="2"/>
    <s v="n"/>
  </r>
  <r>
    <x v="3"/>
    <x v="53"/>
    <x v="1"/>
    <x v="8"/>
    <x v="22"/>
    <x v="0"/>
    <n v="8"/>
    <x v="2"/>
    <s v="n"/>
  </r>
  <r>
    <x v="3"/>
    <x v="54"/>
    <x v="1"/>
    <x v="8"/>
    <x v="23"/>
    <x v="0"/>
    <n v="8"/>
    <x v="2"/>
    <s v="n"/>
  </r>
  <r>
    <x v="3"/>
    <x v="55"/>
    <x v="1"/>
    <x v="8"/>
    <x v="24"/>
    <x v="0"/>
    <n v="8"/>
    <x v="2"/>
    <s v="n"/>
  </r>
  <r>
    <x v="3"/>
    <x v="56"/>
    <x v="1"/>
    <x v="8"/>
    <x v="25"/>
    <x v="0"/>
    <n v="8"/>
    <x v="2"/>
    <s v="n"/>
  </r>
  <r>
    <x v="3"/>
    <x v="57"/>
    <x v="1"/>
    <x v="8"/>
    <x v="26"/>
    <x v="0"/>
    <n v="8"/>
    <x v="2"/>
    <s v="n"/>
  </r>
  <r>
    <x v="4"/>
    <x v="59"/>
    <x v="2"/>
    <x v="9"/>
    <x v="31"/>
    <x v="3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BF863-4100-46CE-95E1-01A20CC270BA}" name="PivotTable1" cacheId="23" applyNumberFormats="0" applyBorderFormats="0" applyFontFormats="0" applyPatternFormats="0" applyAlignmentFormats="0" applyWidthHeightFormats="1" dataCaption="Werte" grandTotalCaption="Total" updatedVersion="7" minRefreshableVersion="3" useAutoFormatting="1" itemPrintTitles="1" createdVersion="6" indent="0" outline="1" outlineData="1" multipleFieldFilters="0" rowHeaderCaption="Employee" colHeaderCaption="">
  <location ref="A3:P23" firstHeaderRow="1" firstDataRow="4" firstDataCol="1"/>
  <pivotFields count="10"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ubtotalCaption="? Sum" showAll="0">
      <items count="4">
        <item n="January" x="0"/>
        <item n="February" x="1"/>
        <item h="1" x="2"/>
        <item t="default"/>
      </items>
    </pivotField>
    <pivotField axis="axisCol" subtotalCaption="Summe" showAll="0">
      <items count="11">
        <item sd="0" x="9"/>
        <item n="CW53" x="0"/>
        <item n="CW1" sd="0" x="1"/>
        <item n="CW2" sd="0" x="2"/>
        <item n="CW3" sd="0" x="3"/>
        <item n="CW4" sd="0" x="4"/>
        <item n="CW5" sd="0" x="5"/>
        <item n="CW6" sd="0" x="6"/>
        <item n="CW7" sd="0" x="7"/>
        <item n="CW8" sd="0" x="8"/>
        <item t="default" sd="0"/>
      </items>
    </pivotField>
    <pivotField axis="axisCol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5"/>
  </rowFields>
  <rowItems count="17">
    <i>
      <x/>
    </i>
    <i r="1">
      <x/>
    </i>
    <i r="1">
      <x v="1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 r="1">
      <x v="3"/>
    </i>
    <i>
      <x v="4"/>
    </i>
    <i r="1">
      <x/>
    </i>
    <i r="1">
      <x v="1"/>
    </i>
    <i r="1">
      <x v="3"/>
    </i>
    <i t="grand">
      <x/>
    </i>
  </rowItems>
  <colFields count="3">
    <field x="2"/>
    <field x="3"/>
    <field x="4"/>
  </colFields>
  <colItems count="15">
    <i>
      <x/>
      <x v="1"/>
      <x/>
    </i>
    <i r="2">
      <x v="1"/>
    </i>
    <i r="2">
      <x v="2"/>
    </i>
    <i t="default" r="1">
      <x v="1"/>
    </i>
    <i r="1">
      <x v="2"/>
    </i>
    <i r="1">
      <x v="3"/>
    </i>
    <i r="1">
      <x v="4"/>
    </i>
    <i r="1">
      <x v="5"/>
    </i>
    <i t="default">
      <x/>
    </i>
    <i>
      <x v="1"/>
      <x v="6"/>
    </i>
    <i r="1">
      <x v="7"/>
    </i>
    <i r="1">
      <x v="8"/>
    </i>
    <i r="1">
      <x v="9"/>
    </i>
    <i t="default">
      <x v="1"/>
    </i>
    <i t="grand">
      <x/>
    </i>
  </colItems>
  <dataFields count="1">
    <dataField name="Hours" fld="6" baseField="0" baseItem="0"/>
  </dataFields>
  <formats count="9">
    <format dxfId="5">
      <pivotArea dataOnly="0" outline="0" fieldPosition="0">
        <references count="1">
          <reference field="4" count="1">
            <x v="3"/>
          </reference>
        </references>
      </pivotArea>
    </format>
    <format dxfId="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1">
            <x v="0"/>
          </reference>
        </references>
      </pivotArea>
    </format>
    <format dxfId="7">
      <pivotArea dataOnly="0" labelOnly="1" grandCol="1" outline="0" fieldPosition="0"/>
    </format>
    <format dxfId="8">
      <pivotArea dataOnly="0" labelOnly="1" fieldPosition="0">
        <references count="1">
          <reference field="2" count="1" defaultSubtotal="1">
            <x v="0"/>
          </reference>
        </references>
      </pivotArea>
    </format>
    <format dxfId="9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0">
      <pivotArea outline="0" collapsedLevelsAreSubtotals="1" fieldPosition="0">
        <references count="2">
          <reference field="2" count="1" selected="0">
            <x v="1"/>
          </reference>
          <reference field="3" count="1" selected="0">
            <x v="6"/>
          </reference>
        </references>
      </pivotArea>
    </format>
    <format dxfId="11">
      <pivotArea type="topRight" dataOnly="0" labelOnly="1" outline="0" offset="K1" fieldPosition="0"/>
    </format>
    <format dxfId="12">
      <pivotArea dataOnly="0" labelOnly="1" offset="A256" fieldPosition="0">
        <references count="1">
          <reference field="2" count="1">
            <x v="1"/>
          </reference>
        </references>
      </pivotArea>
    </format>
    <format dxfId="13">
      <pivotArea dataOnly="0" labelOnly="1" fieldPosition="0">
        <references count="2">
          <reference field="2" count="1" selected="0">
            <x v="1"/>
          </reference>
          <reference field="3" count="1">
            <x v="6"/>
          </reference>
        </references>
      </pivotArea>
    </format>
  </formats>
  <pivotTableStyleInfo name="TMA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2C242-6AE4-4ED3-9875-B6DC3F7CAA66}" name="PivotTable4" cacheId="23" applyNumberFormats="0" applyBorderFormats="0" applyFontFormats="0" applyPatternFormats="0" applyAlignmentFormats="0" applyWidthHeightFormats="1" dataCaption="Werte" grandTotalCaption="Total" updatedVersion="6" minRefreshableVersion="3" useAutoFormatting="1" itemPrintTitles="1" createdVersion="6" indent="0" outline="1" outlineData="1" multipleFieldFilters="0" rowHeaderCaption="Company" colHeaderCaption="">
  <location ref="A2:M12" firstHeaderRow="1" firstDataRow="3" firstDataCol="1"/>
  <pivotFields count="10"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ubtotalCaption="? Sum" showAll="0">
      <items count="4">
        <item n="January" x="0"/>
        <item n="February" x="1"/>
        <item h="1" x="2"/>
        <item t="default"/>
      </items>
    </pivotField>
    <pivotField axis="axisCol" showAll="0">
      <items count="11"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0"/>
  </rowFields>
  <rowItems count="8">
    <i>
      <x/>
    </i>
    <i r="1">
      <x v="2"/>
    </i>
    <i>
      <x v="1"/>
    </i>
    <i r="1">
      <x/>
    </i>
    <i>
      <x v="3"/>
    </i>
    <i r="1">
      <x v="3"/>
    </i>
    <i r="1">
      <x v="4"/>
    </i>
    <i t="grand">
      <x/>
    </i>
  </rowItems>
  <colFields count="2">
    <field x="2"/>
    <field x="3"/>
  </colFields>
  <colItems count="12">
    <i>
      <x/>
      <x v="1"/>
    </i>
    <i r="1">
      <x v="2"/>
    </i>
    <i r="1">
      <x v="3"/>
    </i>
    <i r="1">
      <x v="4"/>
    </i>
    <i r="1">
      <x v="5"/>
    </i>
    <i t="default">
      <x/>
    </i>
    <i>
      <x v="1"/>
      <x v="6"/>
    </i>
    <i r="1">
      <x v="7"/>
    </i>
    <i r="1">
      <x v="8"/>
    </i>
    <i r="1">
      <x v="9"/>
    </i>
    <i t="default">
      <x v="1"/>
    </i>
    <i t="grand">
      <x/>
    </i>
  </colItems>
  <dataFields count="1">
    <dataField name="Hours" fld="6" baseField="0" baseItem="0"/>
  </dataFields>
  <formats count="5"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2">
      <pivotArea dataOnly="0" labelOnly="1" grandCol="1" outline="0" fieldPosition="0"/>
    </format>
    <format dxfId="3">
      <pivotArea dataOnly="0" labelOnly="1" fieldPosition="0">
        <references count="2">
          <reference field="2" count="1" selected="0">
            <x v="0"/>
          </reference>
          <reference field="3" count="5">
            <x v="1"/>
            <x v="2"/>
            <x v="3"/>
            <x v="4"/>
            <x v="5"/>
          </reference>
        </references>
      </pivotArea>
    </format>
    <format dxfId="4">
      <pivotArea dataOnly="0" labelOnly="1" fieldPosition="0">
        <references count="2">
          <reference field="2" count="1" selected="0">
            <x v="1"/>
          </reference>
          <reference field="3" count="4">
            <x v="6"/>
            <x v="7"/>
            <x v="8"/>
            <x v="9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2AB8-3404-472D-86A2-E6A0B0A03E41}">
  <dimension ref="A1:CL21"/>
  <sheetViews>
    <sheetView showGridLines="0" zoomScale="120" zoomScaleNormal="120" workbookViewId="0">
      <selection activeCell="U26" sqref="U26"/>
    </sheetView>
  </sheetViews>
  <sheetFormatPr defaultColWidth="1.5703125" defaultRowHeight="14.45"/>
  <cols>
    <col min="1" max="1" width="2" bestFit="1" customWidth="1"/>
    <col min="32" max="32" width="2" bestFit="1" customWidth="1"/>
    <col min="60" max="60" width="1.85546875" customWidth="1"/>
    <col min="67" max="67" width="2" bestFit="1" customWidth="1"/>
  </cols>
  <sheetData>
    <row r="1" spans="1:90" ht="16.149999999999999" thickTop="1">
      <c r="A1" s="111" t="s">
        <v>0</v>
      </c>
      <c r="B1" s="112"/>
      <c r="C1" s="112"/>
      <c r="D1" s="112"/>
      <c r="E1" s="112"/>
      <c r="F1" s="112"/>
      <c r="G1" s="112"/>
      <c r="H1" s="11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111" t="s">
        <v>1</v>
      </c>
      <c r="AG1" s="112"/>
      <c r="AH1" s="112"/>
      <c r="AI1" s="112"/>
      <c r="AJ1" s="112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111" t="s">
        <v>2</v>
      </c>
      <c r="BI1" s="112"/>
      <c r="BJ1" s="112"/>
      <c r="BK1" s="112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8"/>
    </row>
    <row r="2" spans="1:90" s="5" customFormat="1">
      <c r="A2" s="9" t="s">
        <v>3</v>
      </c>
      <c r="B2" s="6"/>
      <c r="C2" s="6"/>
      <c r="D2" s="113">
        <v>1</v>
      </c>
      <c r="E2" s="113"/>
      <c r="F2" s="6"/>
      <c r="G2" s="6"/>
      <c r="H2" s="6"/>
      <c r="I2" s="6"/>
      <c r="J2" s="6"/>
      <c r="K2" s="113">
        <v>2</v>
      </c>
      <c r="L2" s="113"/>
      <c r="M2" s="6"/>
      <c r="N2" s="6"/>
      <c r="O2" s="6"/>
      <c r="P2" s="6"/>
      <c r="Q2" s="6"/>
      <c r="R2" s="113">
        <v>3</v>
      </c>
      <c r="S2" s="113"/>
      <c r="T2" s="6"/>
      <c r="U2" s="6"/>
      <c r="V2" s="6"/>
      <c r="W2" s="6"/>
      <c r="X2" s="6"/>
      <c r="Y2" s="113">
        <v>4</v>
      </c>
      <c r="Z2" s="113"/>
      <c r="AA2" s="6"/>
      <c r="AB2" s="6"/>
      <c r="AC2" s="6"/>
      <c r="AD2" s="6"/>
      <c r="AE2" s="6"/>
      <c r="AF2" s="114">
        <v>5</v>
      </c>
      <c r="AG2" s="113"/>
      <c r="AH2" s="113"/>
      <c r="AI2" s="6"/>
      <c r="AJ2" s="6"/>
      <c r="AK2" s="6"/>
      <c r="AL2" s="6"/>
      <c r="AM2" s="113">
        <v>6</v>
      </c>
      <c r="AN2" s="113"/>
      <c r="AO2" s="6"/>
      <c r="AP2" s="6"/>
      <c r="AQ2" s="6"/>
      <c r="AR2" s="6"/>
      <c r="AS2" s="6"/>
      <c r="AT2" s="113">
        <v>7</v>
      </c>
      <c r="AU2" s="113"/>
      <c r="AV2" s="6"/>
      <c r="AW2" s="6"/>
      <c r="AX2" s="6"/>
      <c r="AY2" s="6"/>
      <c r="AZ2" s="6"/>
      <c r="BA2" s="113">
        <v>8</v>
      </c>
      <c r="BB2" s="113"/>
      <c r="BC2" s="6"/>
      <c r="BD2" s="6"/>
      <c r="BE2" s="6"/>
      <c r="BF2" s="6"/>
      <c r="BG2" s="6"/>
      <c r="BH2" s="114">
        <v>9</v>
      </c>
      <c r="BI2" s="113"/>
      <c r="BJ2" s="6"/>
      <c r="BK2" s="6"/>
      <c r="BL2" s="6"/>
      <c r="BM2" s="6"/>
      <c r="BN2" s="6"/>
      <c r="BO2" s="113">
        <v>10</v>
      </c>
      <c r="BP2" s="113"/>
      <c r="BQ2" s="113"/>
      <c r="BR2" s="6"/>
      <c r="BS2" s="6"/>
      <c r="BT2" s="6"/>
      <c r="BU2" s="6"/>
      <c r="BV2" s="113">
        <v>11</v>
      </c>
      <c r="BW2" s="113"/>
      <c r="BX2" s="6"/>
      <c r="BY2" s="6"/>
      <c r="BZ2" s="6"/>
      <c r="CA2" s="6"/>
      <c r="CB2" s="6"/>
      <c r="CC2" s="113">
        <v>12</v>
      </c>
      <c r="CD2" s="113"/>
      <c r="CE2" s="6"/>
      <c r="CF2" s="6"/>
      <c r="CG2" s="6"/>
      <c r="CH2" s="6"/>
      <c r="CI2" s="6"/>
      <c r="CJ2" s="113">
        <v>13</v>
      </c>
      <c r="CK2" s="113"/>
      <c r="CL2" s="10"/>
    </row>
    <row r="3" spans="1:90" s="1" customFormat="1" ht="13.9">
      <c r="A3" s="25">
        <v>1</v>
      </c>
      <c r="B3" s="3">
        <f>A3+1</f>
        <v>2</v>
      </c>
      <c r="C3" s="3">
        <f t="shared" ref="C3:AE3" si="0">B3+1</f>
        <v>3</v>
      </c>
      <c r="D3" s="3">
        <f t="shared" si="0"/>
        <v>4</v>
      </c>
      <c r="E3" s="3">
        <f t="shared" si="0"/>
        <v>5</v>
      </c>
      <c r="F3" s="3">
        <f t="shared" si="0"/>
        <v>6</v>
      </c>
      <c r="G3" s="3">
        <f t="shared" si="0"/>
        <v>7</v>
      </c>
      <c r="H3" s="3">
        <f t="shared" si="0"/>
        <v>8</v>
      </c>
      <c r="I3" s="3">
        <f t="shared" si="0"/>
        <v>9</v>
      </c>
      <c r="J3" s="3">
        <f t="shared" si="0"/>
        <v>10</v>
      </c>
      <c r="K3" s="3">
        <f t="shared" si="0"/>
        <v>11</v>
      </c>
      <c r="L3" s="3">
        <f t="shared" si="0"/>
        <v>12</v>
      </c>
      <c r="M3" s="3">
        <f t="shared" si="0"/>
        <v>13</v>
      </c>
      <c r="N3" s="3">
        <f t="shared" si="0"/>
        <v>14</v>
      </c>
      <c r="O3" s="3">
        <f t="shared" si="0"/>
        <v>15</v>
      </c>
      <c r="P3" s="3">
        <f t="shared" si="0"/>
        <v>16</v>
      </c>
      <c r="Q3" s="3">
        <f t="shared" si="0"/>
        <v>17</v>
      </c>
      <c r="R3" s="3">
        <f t="shared" si="0"/>
        <v>18</v>
      </c>
      <c r="S3" s="3">
        <f t="shared" si="0"/>
        <v>19</v>
      </c>
      <c r="T3" s="3">
        <f t="shared" si="0"/>
        <v>20</v>
      </c>
      <c r="U3" s="3">
        <f t="shared" si="0"/>
        <v>21</v>
      </c>
      <c r="V3" s="3">
        <f t="shared" si="0"/>
        <v>22</v>
      </c>
      <c r="W3" s="3">
        <f t="shared" si="0"/>
        <v>23</v>
      </c>
      <c r="X3" s="3">
        <f t="shared" si="0"/>
        <v>24</v>
      </c>
      <c r="Y3" s="3">
        <f t="shared" si="0"/>
        <v>25</v>
      </c>
      <c r="Z3" s="3">
        <f t="shared" si="0"/>
        <v>26</v>
      </c>
      <c r="AA3" s="3">
        <f t="shared" si="0"/>
        <v>27</v>
      </c>
      <c r="AB3" s="3">
        <f t="shared" si="0"/>
        <v>28</v>
      </c>
      <c r="AC3" s="3">
        <f t="shared" si="0"/>
        <v>29</v>
      </c>
      <c r="AD3" s="3">
        <f t="shared" si="0"/>
        <v>30</v>
      </c>
      <c r="AE3" s="3">
        <f t="shared" si="0"/>
        <v>31</v>
      </c>
      <c r="AF3" s="2">
        <v>1</v>
      </c>
      <c r="AG3" s="3">
        <f>AF3+1</f>
        <v>2</v>
      </c>
      <c r="AH3" s="3">
        <f t="shared" ref="AH3:BG3" si="1">AG3+1</f>
        <v>3</v>
      </c>
      <c r="AI3" s="3">
        <f t="shared" si="1"/>
        <v>4</v>
      </c>
      <c r="AJ3" s="3">
        <f t="shared" si="1"/>
        <v>5</v>
      </c>
      <c r="AK3" s="3">
        <f t="shared" si="1"/>
        <v>6</v>
      </c>
      <c r="AL3" s="3">
        <f t="shared" si="1"/>
        <v>7</v>
      </c>
      <c r="AM3" s="3">
        <f t="shared" si="1"/>
        <v>8</v>
      </c>
      <c r="AN3" s="3">
        <f t="shared" si="1"/>
        <v>9</v>
      </c>
      <c r="AO3" s="3">
        <f t="shared" si="1"/>
        <v>10</v>
      </c>
      <c r="AP3" s="3">
        <f t="shared" si="1"/>
        <v>11</v>
      </c>
      <c r="AQ3" s="3">
        <f t="shared" si="1"/>
        <v>12</v>
      </c>
      <c r="AR3" s="3">
        <f t="shared" si="1"/>
        <v>13</v>
      </c>
      <c r="AS3" s="3">
        <f t="shared" si="1"/>
        <v>14</v>
      </c>
      <c r="AT3" s="3">
        <f t="shared" si="1"/>
        <v>15</v>
      </c>
      <c r="AU3" s="3">
        <f t="shared" si="1"/>
        <v>16</v>
      </c>
      <c r="AV3" s="3">
        <f t="shared" si="1"/>
        <v>17</v>
      </c>
      <c r="AW3" s="3">
        <f t="shared" si="1"/>
        <v>18</v>
      </c>
      <c r="AX3" s="3">
        <f t="shared" si="1"/>
        <v>19</v>
      </c>
      <c r="AY3" s="3">
        <f t="shared" si="1"/>
        <v>20</v>
      </c>
      <c r="AZ3" s="3">
        <f t="shared" si="1"/>
        <v>21</v>
      </c>
      <c r="BA3" s="3">
        <f t="shared" si="1"/>
        <v>22</v>
      </c>
      <c r="BB3" s="3">
        <f t="shared" si="1"/>
        <v>23</v>
      </c>
      <c r="BC3" s="3">
        <f t="shared" si="1"/>
        <v>24</v>
      </c>
      <c r="BD3" s="3">
        <f t="shared" si="1"/>
        <v>25</v>
      </c>
      <c r="BE3" s="3">
        <f t="shared" si="1"/>
        <v>26</v>
      </c>
      <c r="BF3" s="3">
        <f t="shared" si="1"/>
        <v>27</v>
      </c>
      <c r="BG3" s="3">
        <f t="shared" si="1"/>
        <v>28</v>
      </c>
      <c r="BH3" s="4">
        <v>1</v>
      </c>
      <c r="BI3" s="11">
        <f>BH3+1</f>
        <v>2</v>
      </c>
      <c r="BJ3" s="11">
        <f t="shared" ref="BJ3:CL3" si="2">BI3+1</f>
        <v>3</v>
      </c>
      <c r="BK3" s="11">
        <f t="shared" si="2"/>
        <v>4</v>
      </c>
      <c r="BL3" s="11">
        <f t="shared" si="2"/>
        <v>5</v>
      </c>
      <c r="BM3" s="11">
        <f t="shared" si="2"/>
        <v>6</v>
      </c>
      <c r="BN3" s="11">
        <f t="shared" si="2"/>
        <v>7</v>
      </c>
      <c r="BO3" s="3">
        <f t="shared" si="2"/>
        <v>8</v>
      </c>
      <c r="BP3" s="3">
        <f t="shared" si="2"/>
        <v>9</v>
      </c>
      <c r="BQ3" s="3">
        <f t="shared" si="2"/>
        <v>10</v>
      </c>
      <c r="BR3" s="3">
        <f t="shared" si="2"/>
        <v>11</v>
      </c>
      <c r="BS3" s="3">
        <f t="shared" si="2"/>
        <v>12</v>
      </c>
      <c r="BT3" s="3">
        <f t="shared" si="2"/>
        <v>13</v>
      </c>
      <c r="BU3" s="3">
        <f t="shared" si="2"/>
        <v>14</v>
      </c>
      <c r="BV3" s="3">
        <f t="shared" si="2"/>
        <v>15</v>
      </c>
      <c r="BW3" s="3">
        <f t="shared" si="2"/>
        <v>16</v>
      </c>
      <c r="BX3" s="3">
        <f t="shared" si="2"/>
        <v>17</v>
      </c>
      <c r="BY3" s="3">
        <f t="shared" si="2"/>
        <v>18</v>
      </c>
      <c r="BZ3" s="3">
        <f t="shared" si="2"/>
        <v>19</v>
      </c>
      <c r="CA3" s="3">
        <f t="shared" si="2"/>
        <v>20</v>
      </c>
      <c r="CB3" s="3">
        <f t="shared" si="2"/>
        <v>21</v>
      </c>
      <c r="CC3" s="3">
        <f t="shared" si="2"/>
        <v>22</v>
      </c>
      <c r="CD3" s="3">
        <f t="shared" si="2"/>
        <v>23</v>
      </c>
      <c r="CE3" s="3">
        <f t="shared" si="2"/>
        <v>24</v>
      </c>
      <c r="CF3" s="3">
        <f t="shared" si="2"/>
        <v>25</v>
      </c>
      <c r="CG3" s="3">
        <f t="shared" si="2"/>
        <v>26</v>
      </c>
      <c r="CH3" s="3">
        <f t="shared" si="2"/>
        <v>27</v>
      </c>
      <c r="CI3" s="3">
        <f t="shared" si="2"/>
        <v>28</v>
      </c>
      <c r="CJ3" s="3">
        <f t="shared" si="2"/>
        <v>29</v>
      </c>
      <c r="CK3" s="3">
        <f t="shared" si="2"/>
        <v>30</v>
      </c>
      <c r="CL3" s="12">
        <f t="shared" si="2"/>
        <v>31</v>
      </c>
    </row>
    <row r="4" spans="1:90">
      <c r="A4" s="14" t="s">
        <v>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5"/>
    </row>
    <row r="5" spans="1:90" s="19" customFormat="1" ht="13.9">
      <c r="A5" s="16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15" t="s">
        <v>6</v>
      </c>
      <c r="BI5" s="115"/>
      <c r="BJ5" s="115"/>
      <c r="BK5" s="115"/>
      <c r="BL5" s="115"/>
      <c r="BM5" s="115"/>
      <c r="BN5" s="115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8"/>
    </row>
    <row r="6" spans="1:90" s="19" customFormat="1" thickBot="1">
      <c r="A6" s="20" t="s">
        <v>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116">
        <v>3500</v>
      </c>
      <c r="BI6" s="117"/>
      <c r="BJ6" s="117"/>
      <c r="BK6" s="117"/>
      <c r="BL6" s="117"/>
      <c r="BM6" s="117"/>
      <c r="BN6" s="117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2"/>
    </row>
    <row r="7" spans="1:90" ht="15.6" thickTop="1" thickBot="1"/>
    <row r="8" spans="1:90" ht="16.149999999999999" thickTop="1">
      <c r="A8" s="111" t="s">
        <v>0</v>
      </c>
      <c r="B8" s="112"/>
      <c r="C8" s="112"/>
      <c r="D8" s="112"/>
      <c r="E8" s="112"/>
      <c r="F8" s="112"/>
      <c r="G8" s="112"/>
      <c r="H8" s="1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111" t="s">
        <v>1</v>
      </c>
      <c r="AG8" s="112"/>
      <c r="AH8" s="112"/>
      <c r="AI8" s="112"/>
      <c r="AJ8" s="112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111" t="s">
        <v>2</v>
      </c>
      <c r="BI8" s="112"/>
      <c r="BJ8" s="112"/>
      <c r="BK8" s="112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8"/>
    </row>
    <row r="9" spans="1:90">
      <c r="A9" s="9" t="s">
        <v>3</v>
      </c>
      <c r="B9" s="6"/>
      <c r="C9" s="6"/>
      <c r="D9" s="113">
        <v>1</v>
      </c>
      <c r="E9" s="113"/>
      <c r="F9" s="6"/>
      <c r="G9" s="6"/>
      <c r="H9" s="6"/>
      <c r="I9" s="6"/>
      <c r="J9" s="6"/>
      <c r="K9" s="113">
        <v>2</v>
      </c>
      <c r="L9" s="113"/>
      <c r="M9" s="6"/>
      <c r="N9" s="6"/>
      <c r="O9" s="6"/>
      <c r="P9" s="6"/>
      <c r="Q9" s="6"/>
      <c r="R9" s="113">
        <v>3</v>
      </c>
      <c r="S9" s="113"/>
      <c r="T9" s="6"/>
      <c r="U9" s="6"/>
      <c r="V9" s="6"/>
      <c r="W9" s="6"/>
      <c r="X9" s="6"/>
      <c r="Y9" s="113">
        <v>4</v>
      </c>
      <c r="Z9" s="113"/>
      <c r="AA9" s="6"/>
      <c r="AB9" s="6"/>
      <c r="AC9" s="6"/>
      <c r="AD9" s="6"/>
      <c r="AE9" s="6"/>
      <c r="AF9" s="114">
        <v>5</v>
      </c>
      <c r="AG9" s="113"/>
      <c r="AH9" s="113"/>
      <c r="AI9" s="6"/>
      <c r="AJ9" s="6"/>
      <c r="AK9" s="6"/>
      <c r="AL9" s="6"/>
      <c r="AM9" s="113">
        <v>6</v>
      </c>
      <c r="AN9" s="113"/>
      <c r="AO9" s="6"/>
      <c r="AP9" s="6"/>
      <c r="AQ9" s="6"/>
      <c r="AR9" s="6"/>
      <c r="AS9" s="6"/>
      <c r="AT9" s="113">
        <v>7</v>
      </c>
      <c r="AU9" s="113"/>
      <c r="AV9" s="6"/>
      <c r="AW9" s="6"/>
      <c r="AX9" s="6"/>
      <c r="AY9" s="6"/>
      <c r="AZ9" s="6"/>
      <c r="BA9" s="113">
        <v>8</v>
      </c>
      <c r="BB9" s="113"/>
      <c r="BC9" s="6"/>
      <c r="BD9" s="6"/>
      <c r="BE9" s="6"/>
      <c r="BF9" s="6"/>
      <c r="BG9" s="6"/>
      <c r="BH9" s="114">
        <v>9</v>
      </c>
      <c r="BI9" s="113"/>
      <c r="BJ9" s="6"/>
      <c r="BK9" s="6"/>
      <c r="BL9" s="6"/>
      <c r="BM9" s="6"/>
      <c r="BN9" s="6"/>
      <c r="BO9" s="113">
        <v>10</v>
      </c>
      <c r="BP9" s="113"/>
      <c r="BQ9" s="113"/>
      <c r="BR9" s="6"/>
      <c r="BS9" s="6"/>
      <c r="BT9" s="6"/>
      <c r="BU9" s="6"/>
      <c r="BV9" s="113">
        <v>11</v>
      </c>
      <c r="BW9" s="113"/>
      <c r="BX9" s="6"/>
      <c r="BY9" s="6"/>
      <c r="BZ9" s="6"/>
      <c r="CA9" s="6"/>
      <c r="CB9" s="6"/>
      <c r="CC9" s="113">
        <v>12</v>
      </c>
      <c r="CD9" s="113"/>
      <c r="CE9" s="6"/>
      <c r="CF9" s="6"/>
      <c r="CG9" s="6"/>
      <c r="CH9" s="6"/>
      <c r="CI9" s="6"/>
      <c r="CJ9" s="113">
        <v>13</v>
      </c>
      <c r="CK9" s="113"/>
      <c r="CL9" s="10"/>
    </row>
    <row r="10" spans="1:90">
      <c r="A10" s="23">
        <v>1</v>
      </c>
      <c r="B10" s="3">
        <f>A10+1</f>
        <v>2</v>
      </c>
      <c r="C10" s="3">
        <f t="shared" ref="C10:AE10" si="3">B10+1</f>
        <v>3</v>
      </c>
      <c r="D10" s="3">
        <f t="shared" si="3"/>
        <v>4</v>
      </c>
      <c r="E10" s="3">
        <f t="shared" si="3"/>
        <v>5</v>
      </c>
      <c r="F10" s="3">
        <f t="shared" si="3"/>
        <v>6</v>
      </c>
      <c r="G10" s="3">
        <f t="shared" si="3"/>
        <v>7</v>
      </c>
      <c r="H10" s="3">
        <f t="shared" si="3"/>
        <v>8</v>
      </c>
      <c r="I10" s="3">
        <f t="shared" si="3"/>
        <v>9</v>
      </c>
      <c r="J10" s="3">
        <f t="shared" si="3"/>
        <v>10</v>
      </c>
      <c r="K10" s="3">
        <f t="shared" si="3"/>
        <v>11</v>
      </c>
      <c r="L10" s="3">
        <f t="shared" si="3"/>
        <v>12</v>
      </c>
      <c r="M10" s="3">
        <f t="shared" si="3"/>
        <v>13</v>
      </c>
      <c r="N10" s="3">
        <f t="shared" si="3"/>
        <v>14</v>
      </c>
      <c r="O10" s="3">
        <f t="shared" si="3"/>
        <v>15</v>
      </c>
      <c r="P10" s="3">
        <f t="shared" si="3"/>
        <v>16</v>
      </c>
      <c r="Q10" s="3">
        <f t="shared" si="3"/>
        <v>17</v>
      </c>
      <c r="R10" s="3">
        <f t="shared" si="3"/>
        <v>18</v>
      </c>
      <c r="S10" s="3">
        <f t="shared" si="3"/>
        <v>19</v>
      </c>
      <c r="T10" s="3">
        <f t="shared" si="3"/>
        <v>20</v>
      </c>
      <c r="U10" s="3">
        <f t="shared" si="3"/>
        <v>21</v>
      </c>
      <c r="V10" s="3">
        <f t="shared" si="3"/>
        <v>22</v>
      </c>
      <c r="W10" s="3">
        <f t="shared" si="3"/>
        <v>23</v>
      </c>
      <c r="X10" s="3">
        <f t="shared" si="3"/>
        <v>24</v>
      </c>
      <c r="Y10" s="3">
        <f t="shared" si="3"/>
        <v>25</v>
      </c>
      <c r="Z10" s="3">
        <f t="shared" si="3"/>
        <v>26</v>
      </c>
      <c r="AA10" s="3">
        <f t="shared" si="3"/>
        <v>27</v>
      </c>
      <c r="AB10" s="3">
        <f t="shared" si="3"/>
        <v>28</v>
      </c>
      <c r="AC10" s="3">
        <f t="shared" si="3"/>
        <v>29</v>
      </c>
      <c r="AD10" s="3">
        <f t="shared" si="3"/>
        <v>30</v>
      </c>
      <c r="AE10" s="3">
        <f t="shared" si="3"/>
        <v>31</v>
      </c>
      <c r="AF10" s="2">
        <v>1</v>
      </c>
      <c r="AG10" s="3">
        <f>AF10+1</f>
        <v>2</v>
      </c>
      <c r="AH10" s="3">
        <f t="shared" ref="AH10:BG10" si="4">AG10+1</f>
        <v>3</v>
      </c>
      <c r="AI10" s="3">
        <f t="shared" si="4"/>
        <v>4</v>
      </c>
      <c r="AJ10" s="3">
        <f t="shared" si="4"/>
        <v>5</v>
      </c>
      <c r="AK10" s="3">
        <f t="shared" si="4"/>
        <v>6</v>
      </c>
      <c r="AL10" s="3">
        <f t="shared" si="4"/>
        <v>7</v>
      </c>
      <c r="AM10" s="3">
        <f t="shared" si="4"/>
        <v>8</v>
      </c>
      <c r="AN10" s="3">
        <f t="shared" si="4"/>
        <v>9</v>
      </c>
      <c r="AO10" s="3">
        <f t="shared" si="4"/>
        <v>10</v>
      </c>
      <c r="AP10" s="3">
        <f t="shared" si="4"/>
        <v>11</v>
      </c>
      <c r="AQ10" s="3">
        <f t="shared" si="4"/>
        <v>12</v>
      </c>
      <c r="AR10" s="3">
        <f t="shared" si="4"/>
        <v>13</v>
      </c>
      <c r="AS10" s="3">
        <f t="shared" si="4"/>
        <v>14</v>
      </c>
      <c r="AT10" s="3">
        <f t="shared" si="4"/>
        <v>15</v>
      </c>
      <c r="AU10" s="3">
        <f t="shared" si="4"/>
        <v>16</v>
      </c>
      <c r="AV10" s="3">
        <f t="shared" si="4"/>
        <v>17</v>
      </c>
      <c r="AW10" s="3">
        <f t="shared" si="4"/>
        <v>18</v>
      </c>
      <c r="AX10" s="3">
        <f t="shared" si="4"/>
        <v>19</v>
      </c>
      <c r="AY10" s="3">
        <f t="shared" si="4"/>
        <v>20</v>
      </c>
      <c r="AZ10" s="3">
        <f t="shared" si="4"/>
        <v>21</v>
      </c>
      <c r="BA10" s="3">
        <f t="shared" si="4"/>
        <v>22</v>
      </c>
      <c r="BB10" s="3">
        <f t="shared" si="4"/>
        <v>23</v>
      </c>
      <c r="BC10" s="3">
        <f t="shared" si="4"/>
        <v>24</v>
      </c>
      <c r="BD10" s="3">
        <f t="shared" si="4"/>
        <v>25</v>
      </c>
      <c r="BE10" s="3">
        <f t="shared" si="4"/>
        <v>26</v>
      </c>
      <c r="BF10" s="3">
        <f t="shared" si="4"/>
        <v>27</v>
      </c>
      <c r="BG10" s="3">
        <f t="shared" si="4"/>
        <v>28</v>
      </c>
      <c r="BH10" s="4">
        <v>1</v>
      </c>
      <c r="BI10" s="11">
        <f>BH10+1</f>
        <v>2</v>
      </c>
      <c r="BJ10" s="11">
        <f t="shared" ref="BJ10:CL10" si="5">BI10+1</f>
        <v>3</v>
      </c>
      <c r="BK10" s="11">
        <f t="shared" si="5"/>
        <v>4</v>
      </c>
      <c r="BL10" s="11">
        <f t="shared" si="5"/>
        <v>5</v>
      </c>
      <c r="BM10" s="11">
        <f t="shared" si="5"/>
        <v>6</v>
      </c>
      <c r="BN10" s="11">
        <f t="shared" si="5"/>
        <v>7</v>
      </c>
      <c r="BO10" s="24">
        <f t="shared" si="5"/>
        <v>8</v>
      </c>
      <c r="BP10" s="3">
        <f t="shared" si="5"/>
        <v>9</v>
      </c>
      <c r="BQ10" s="3">
        <f t="shared" si="5"/>
        <v>10</v>
      </c>
      <c r="BR10" s="3">
        <f t="shared" si="5"/>
        <v>11</v>
      </c>
      <c r="BS10" s="3">
        <f t="shared" si="5"/>
        <v>12</v>
      </c>
      <c r="BT10" s="3">
        <f t="shared" si="5"/>
        <v>13</v>
      </c>
      <c r="BU10" s="3">
        <f t="shared" si="5"/>
        <v>14</v>
      </c>
      <c r="BV10" s="3">
        <f t="shared" si="5"/>
        <v>15</v>
      </c>
      <c r="BW10" s="3">
        <f t="shared" si="5"/>
        <v>16</v>
      </c>
      <c r="BX10" s="3">
        <f t="shared" si="5"/>
        <v>17</v>
      </c>
      <c r="BY10" s="3">
        <f t="shared" si="5"/>
        <v>18</v>
      </c>
      <c r="BZ10" s="3">
        <f t="shared" si="5"/>
        <v>19</v>
      </c>
      <c r="CA10" s="3">
        <f t="shared" si="5"/>
        <v>20</v>
      </c>
      <c r="CB10" s="3">
        <f t="shared" si="5"/>
        <v>21</v>
      </c>
      <c r="CC10" s="3">
        <f t="shared" si="5"/>
        <v>22</v>
      </c>
      <c r="CD10" s="3">
        <f t="shared" si="5"/>
        <v>23</v>
      </c>
      <c r="CE10" s="3">
        <f t="shared" si="5"/>
        <v>24</v>
      </c>
      <c r="CF10" s="3">
        <f t="shared" si="5"/>
        <v>25</v>
      </c>
      <c r="CG10" s="3">
        <f t="shared" si="5"/>
        <v>26</v>
      </c>
      <c r="CH10" s="3">
        <f t="shared" si="5"/>
        <v>27</v>
      </c>
      <c r="CI10" s="3">
        <f t="shared" si="5"/>
        <v>28</v>
      </c>
      <c r="CJ10" s="3">
        <f t="shared" si="5"/>
        <v>29</v>
      </c>
      <c r="CK10" s="3">
        <f t="shared" si="5"/>
        <v>30</v>
      </c>
      <c r="CL10" s="12">
        <f t="shared" si="5"/>
        <v>31</v>
      </c>
    </row>
    <row r="11" spans="1:90">
      <c r="A11" s="14" t="s">
        <v>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5"/>
    </row>
    <row r="12" spans="1:90">
      <c r="A12" s="16" t="s">
        <v>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15" t="s">
        <v>9</v>
      </c>
      <c r="BI12" s="115"/>
      <c r="BJ12" s="115"/>
      <c r="BK12" s="115"/>
      <c r="BL12" s="115"/>
      <c r="BM12" s="115"/>
      <c r="BN12" s="115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8"/>
    </row>
    <row r="13" spans="1:90" ht="15" thickBot="1">
      <c r="A13" s="20" t="s">
        <v>10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118">
        <v>3100</v>
      </c>
      <c r="BI13" s="119"/>
      <c r="BJ13" s="119"/>
      <c r="BK13" s="119"/>
      <c r="BL13" s="119"/>
      <c r="BM13" s="119"/>
      <c r="BN13" s="119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2"/>
    </row>
    <row r="14" spans="1:90" ht="15.6" thickTop="1" thickBot="1"/>
    <row r="15" spans="1:90" ht="16.149999999999999" thickTop="1">
      <c r="A15" s="111" t="s">
        <v>0</v>
      </c>
      <c r="B15" s="112"/>
      <c r="C15" s="112"/>
      <c r="D15" s="112"/>
      <c r="E15" s="112"/>
      <c r="F15" s="112"/>
      <c r="G15" s="112"/>
      <c r="H15" s="11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111" t="s">
        <v>1</v>
      </c>
      <c r="AG15" s="112"/>
      <c r="AH15" s="112"/>
      <c r="AI15" s="112"/>
      <c r="AJ15" s="112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111" t="s">
        <v>2</v>
      </c>
      <c r="BI15" s="112"/>
      <c r="BJ15" s="112"/>
      <c r="BK15" s="112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8"/>
    </row>
    <row r="16" spans="1:90">
      <c r="A16" s="9" t="s">
        <v>3</v>
      </c>
      <c r="B16" s="6"/>
      <c r="C16" s="6"/>
      <c r="D16" s="113">
        <v>1</v>
      </c>
      <c r="E16" s="113"/>
      <c r="F16" s="6"/>
      <c r="G16" s="6"/>
      <c r="H16" s="6"/>
      <c r="I16" s="6"/>
      <c r="J16" s="6"/>
      <c r="K16" s="113">
        <v>2</v>
      </c>
      <c r="L16" s="113"/>
      <c r="M16" s="6"/>
      <c r="N16" s="6"/>
      <c r="O16" s="6"/>
      <c r="P16" s="6"/>
      <c r="Q16" s="6"/>
      <c r="R16" s="113">
        <v>3</v>
      </c>
      <c r="S16" s="113"/>
      <c r="T16" s="6"/>
      <c r="U16" s="6"/>
      <c r="V16" s="6"/>
      <c r="W16" s="6"/>
      <c r="X16" s="6"/>
      <c r="Y16" s="113">
        <v>4</v>
      </c>
      <c r="Z16" s="113"/>
      <c r="AA16" s="6"/>
      <c r="AB16" s="6"/>
      <c r="AC16" s="6"/>
      <c r="AD16" s="6"/>
      <c r="AE16" s="6"/>
      <c r="AF16" s="114">
        <v>5</v>
      </c>
      <c r="AG16" s="113"/>
      <c r="AH16" s="113"/>
      <c r="AI16" s="6"/>
      <c r="AJ16" s="6"/>
      <c r="AK16" s="6"/>
      <c r="AL16" s="6"/>
      <c r="AM16" s="113">
        <v>6</v>
      </c>
      <c r="AN16" s="113"/>
      <c r="AO16" s="6"/>
      <c r="AP16" s="6"/>
      <c r="AQ16" s="6"/>
      <c r="AR16" s="6"/>
      <c r="AS16" s="6"/>
      <c r="AT16" s="113">
        <v>7</v>
      </c>
      <c r="AU16" s="113"/>
      <c r="AV16" s="6"/>
      <c r="AW16" s="6"/>
      <c r="AX16" s="6"/>
      <c r="AY16" s="6"/>
      <c r="AZ16" s="6"/>
      <c r="BA16" s="113">
        <v>8</v>
      </c>
      <c r="BB16" s="113"/>
      <c r="BC16" s="6"/>
      <c r="BD16" s="6"/>
      <c r="BE16" s="6"/>
      <c r="BF16" s="6"/>
      <c r="BG16" s="6"/>
      <c r="BH16" s="114">
        <v>9</v>
      </c>
      <c r="BI16" s="113"/>
      <c r="BJ16" s="6"/>
      <c r="BK16" s="6"/>
      <c r="BL16" s="6"/>
      <c r="BM16" s="6"/>
      <c r="BN16" s="6"/>
      <c r="BO16" s="113">
        <v>10</v>
      </c>
      <c r="BP16" s="113"/>
      <c r="BQ16" s="113"/>
      <c r="BR16" s="6"/>
      <c r="BS16" s="6"/>
      <c r="BT16" s="6"/>
      <c r="BU16" s="6"/>
      <c r="BV16" s="113">
        <v>11</v>
      </c>
      <c r="BW16" s="113"/>
      <c r="BX16" s="6"/>
      <c r="BY16" s="6"/>
      <c r="BZ16" s="6"/>
      <c r="CA16" s="6"/>
      <c r="CB16" s="6"/>
      <c r="CC16" s="113">
        <v>12</v>
      </c>
      <c r="CD16" s="113"/>
      <c r="CE16" s="6"/>
      <c r="CF16" s="6"/>
      <c r="CG16" s="6"/>
      <c r="CH16" s="6"/>
      <c r="CI16" s="6"/>
      <c r="CJ16" s="113">
        <v>13</v>
      </c>
      <c r="CK16" s="113"/>
      <c r="CL16" s="10"/>
    </row>
    <row r="17" spans="1:90">
      <c r="A17" s="23">
        <v>1</v>
      </c>
      <c r="B17" s="3">
        <f>A17+1</f>
        <v>2</v>
      </c>
      <c r="C17" s="3">
        <f t="shared" ref="C17:AE17" si="6">B17+1</f>
        <v>3</v>
      </c>
      <c r="D17" s="3">
        <f t="shared" si="6"/>
        <v>4</v>
      </c>
      <c r="E17" s="3">
        <f t="shared" si="6"/>
        <v>5</v>
      </c>
      <c r="F17" s="3">
        <f t="shared" si="6"/>
        <v>6</v>
      </c>
      <c r="G17" s="3">
        <f t="shared" si="6"/>
        <v>7</v>
      </c>
      <c r="H17" s="3">
        <f t="shared" si="6"/>
        <v>8</v>
      </c>
      <c r="I17" s="3">
        <f t="shared" si="6"/>
        <v>9</v>
      </c>
      <c r="J17" s="3">
        <f t="shared" si="6"/>
        <v>10</v>
      </c>
      <c r="K17" s="3">
        <f t="shared" si="6"/>
        <v>11</v>
      </c>
      <c r="L17" s="3">
        <f t="shared" si="6"/>
        <v>12</v>
      </c>
      <c r="M17" s="3">
        <f t="shared" si="6"/>
        <v>13</v>
      </c>
      <c r="N17" s="3">
        <f t="shared" si="6"/>
        <v>14</v>
      </c>
      <c r="O17" s="3">
        <f t="shared" si="6"/>
        <v>15</v>
      </c>
      <c r="P17" s="3">
        <f t="shared" si="6"/>
        <v>16</v>
      </c>
      <c r="Q17" s="3">
        <f t="shared" si="6"/>
        <v>17</v>
      </c>
      <c r="R17" s="3">
        <f t="shared" si="6"/>
        <v>18</v>
      </c>
      <c r="S17" s="3">
        <f t="shared" si="6"/>
        <v>19</v>
      </c>
      <c r="T17" s="3">
        <f t="shared" si="6"/>
        <v>20</v>
      </c>
      <c r="U17" s="3">
        <f t="shared" si="6"/>
        <v>21</v>
      </c>
      <c r="V17" s="3">
        <f t="shared" si="6"/>
        <v>22</v>
      </c>
      <c r="W17" s="3">
        <f t="shared" si="6"/>
        <v>23</v>
      </c>
      <c r="X17" s="3">
        <f t="shared" si="6"/>
        <v>24</v>
      </c>
      <c r="Y17" s="3">
        <f t="shared" si="6"/>
        <v>25</v>
      </c>
      <c r="Z17" s="3">
        <f t="shared" si="6"/>
        <v>26</v>
      </c>
      <c r="AA17" s="3">
        <f t="shared" si="6"/>
        <v>27</v>
      </c>
      <c r="AB17" s="3">
        <f t="shared" si="6"/>
        <v>28</v>
      </c>
      <c r="AC17" s="3">
        <f t="shared" si="6"/>
        <v>29</v>
      </c>
      <c r="AD17" s="3">
        <f t="shared" si="6"/>
        <v>30</v>
      </c>
      <c r="AE17" s="3">
        <f t="shared" si="6"/>
        <v>31</v>
      </c>
      <c r="AF17" s="25">
        <v>1</v>
      </c>
      <c r="AG17" s="3">
        <f>AF17+1</f>
        <v>2</v>
      </c>
      <c r="AH17" s="3">
        <f t="shared" ref="AH17:BG17" si="7">AG17+1</f>
        <v>3</v>
      </c>
      <c r="AI17" s="3">
        <f t="shared" si="7"/>
        <v>4</v>
      </c>
      <c r="AJ17" s="3">
        <f t="shared" si="7"/>
        <v>5</v>
      </c>
      <c r="AK17" s="3">
        <f t="shared" si="7"/>
        <v>6</v>
      </c>
      <c r="AL17" s="3">
        <f t="shared" si="7"/>
        <v>7</v>
      </c>
      <c r="AM17" s="3">
        <f t="shared" si="7"/>
        <v>8</v>
      </c>
      <c r="AN17" s="3">
        <f t="shared" si="7"/>
        <v>9</v>
      </c>
      <c r="AO17" s="3">
        <f t="shared" si="7"/>
        <v>10</v>
      </c>
      <c r="AP17" s="3">
        <f t="shared" si="7"/>
        <v>11</v>
      </c>
      <c r="AQ17" s="3">
        <f t="shared" si="7"/>
        <v>12</v>
      </c>
      <c r="AR17" s="3">
        <f t="shared" si="7"/>
        <v>13</v>
      </c>
      <c r="AS17" s="3">
        <f t="shared" si="7"/>
        <v>14</v>
      </c>
      <c r="AT17" s="3">
        <f t="shared" si="7"/>
        <v>15</v>
      </c>
      <c r="AU17" s="3">
        <f t="shared" si="7"/>
        <v>16</v>
      </c>
      <c r="AV17" s="3">
        <f t="shared" si="7"/>
        <v>17</v>
      </c>
      <c r="AW17" s="3">
        <f t="shared" si="7"/>
        <v>18</v>
      </c>
      <c r="AX17" s="3">
        <f t="shared" si="7"/>
        <v>19</v>
      </c>
      <c r="AY17" s="3">
        <f t="shared" si="7"/>
        <v>20</v>
      </c>
      <c r="AZ17" s="3">
        <f t="shared" si="7"/>
        <v>21</v>
      </c>
      <c r="BA17" s="3">
        <f t="shared" si="7"/>
        <v>22</v>
      </c>
      <c r="BB17" s="3">
        <f t="shared" si="7"/>
        <v>23</v>
      </c>
      <c r="BC17" s="3">
        <f t="shared" si="7"/>
        <v>24</v>
      </c>
      <c r="BD17" s="3">
        <f t="shared" si="7"/>
        <v>25</v>
      </c>
      <c r="BE17" s="3">
        <f t="shared" si="7"/>
        <v>26</v>
      </c>
      <c r="BF17" s="3">
        <f t="shared" si="7"/>
        <v>27</v>
      </c>
      <c r="BG17" s="3">
        <f t="shared" si="7"/>
        <v>28</v>
      </c>
      <c r="BH17" s="4">
        <v>1</v>
      </c>
      <c r="BI17" s="11">
        <f>BH17+1</f>
        <v>2</v>
      </c>
      <c r="BJ17" s="11">
        <f t="shared" ref="BJ17:CL17" si="8">BI17+1</f>
        <v>3</v>
      </c>
      <c r="BK17" s="11">
        <f t="shared" si="8"/>
        <v>4</v>
      </c>
      <c r="BL17" s="11">
        <f t="shared" si="8"/>
        <v>5</v>
      </c>
      <c r="BM17" s="11">
        <f t="shared" si="8"/>
        <v>6</v>
      </c>
      <c r="BN17" s="11">
        <f t="shared" si="8"/>
        <v>7</v>
      </c>
      <c r="BO17" s="26">
        <f t="shared" si="8"/>
        <v>8</v>
      </c>
      <c r="BP17" s="3">
        <f t="shared" si="8"/>
        <v>9</v>
      </c>
      <c r="BQ17" s="3">
        <f t="shared" si="8"/>
        <v>10</v>
      </c>
      <c r="BR17" s="3">
        <f t="shared" si="8"/>
        <v>11</v>
      </c>
      <c r="BS17" s="3">
        <f t="shared" si="8"/>
        <v>12</v>
      </c>
      <c r="BT17" s="3">
        <f t="shared" si="8"/>
        <v>13</v>
      </c>
      <c r="BU17" s="3">
        <f t="shared" si="8"/>
        <v>14</v>
      </c>
      <c r="BV17" s="3">
        <f t="shared" si="8"/>
        <v>15</v>
      </c>
      <c r="BW17" s="3">
        <f t="shared" si="8"/>
        <v>16</v>
      </c>
      <c r="BX17" s="3">
        <f t="shared" si="8"/>
        <v>17</v>
      </c>
      <c r="BY17" s="3">
        <f t="shared" si="8"/>
        <v>18</v>
      </c>
      <c r="BZ17" s="3">
        <f t="shared" si="8"/>
        <v>19</v>
      </c>
      <c r="CA17" s="3">
        <f t="shared" si="8"/>
        <v>20</v>
      </c>
      <c r="CB17" s="3">
        <f t="shared" si="8"/>
        <v>21</v>
      </c>
      <c r="CC17" s="3">
        <f t="shared" si="8"/>
        <v>22</v>
      </c>
      <c r="CD17" s="3">
        <f t="shared" si="8"/>
        <v>23</v>
      </c>
      <c r="CE17" s="3">
        <f t="shared" si="8"/>
        <v>24</v>
      </c>
      <c r="CF17" s="3">
        <f t="shared" si="8"/>
        <v>25</v>
      </c>
      <c r="CG17" s="3">
        <f t="shared" si="8"/>
        <v>26</v>
      </c>
      <c r="CH17" s="3">
        <f t="shared" si="8"/>
        <v>27</v>
      </c>
      <c r="CI17" s="3">
        <f t="shared" si="8"/>
        <v>28</v>
      </c>
      <c r="CJ17" s="3">
        <f t="shared" si="8"/>
        <v>29</v>
      </c>
      <c r="CK17" s="3">
        <f t="shared" si="8"/>
        <v>30</v>
      </c>
      <c r="CL17" s="12">
        <f t="shared" si="8"/>
        <v>31</v>
      </c>
    </row>
    <row r="18" spans="1:90">
      <c r="A18" s="14" t="s">
        <v>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5"/>
    </row>
    <row r="19" spans="1:90">
      <c r="A19" s="16" t="s">
        <v>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20" t="s">
        <v>11</v>
      </c>
      <c r="BI19" s="120"/>
      <c r="BJ19" s="120"/>
      <c r="BK19" s="120"/>
      <c r="BL19" s="120"/>
      <c r="BM19" s="120"/>
      <c r="BN19" s="120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8"/>
    </row>
    <row r="20" spans="1:90" ht="15" thickBot="1">
      <c r="A20" s="20" t="s">
        <v>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121">
        <v>3300</v>
      </c>
      <c r="BI20" s="122"/>
      <c r="BJ20" s="122"/>
      <c r="BK20" s="122"/>
      <c r="BL20" s="122"/>
      <c r="BM20" s="122"/>
      <c r="BN20" s="122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2"/>
    </row>
    <row r="21" spans="1:90" ht="15" thickTop="1"/>
  </sheetData>
  <mergeCells count="54">
    <mergeCell ref="BH19:BN19"/>
    <mergeCell ref="BH20:BN20"/>
    <mergeCell ref="AT16:AU16"/>
    <mergeCell ref="BA16:BB16"/>
    <mergeCell ref="BH16:BI16"/>
    <mergeCell ref="D16:E16"/>
    <mergeCell ref="K16:L16"/>
    <mergeCell ref="R16:S16"/>
    <mergeCell ref="Y16:Z16"/>
    <mergeCell ref="AF16:AH16"/>
    <mergeCell ref="AM16:AN16"/>
    <mergeCell ref="CC9:CD9"/>
    <mergeCell ref="CJ9:CK9"/>
    <mergeCell ref="BH12:BN12"/>
    <mergeCell ref="BH13:BN13"/>
    <mergeCell ref="BO9:BQ9"/>
    <mergeCell ref="BV9:BW9"/>
    <mergeCell ref="CJ16:CK16"/>
    <mergeCell ref="BO16:BQ16"/>
    <mergeCell ref="BV16:BW16"/>
    <mergeCell ref="CC16:CD16"/>
    <mergeCell ref="A15:H15"/>
    <mergeCell ref="AF15:AJ15"/>
    <mergeCell ref="BH15:BK15"/>
    <mergeCell ref="AM9:AN9"/>
    <mergeCell ref="AT9:AU9"/>
    <mergeCell ref="BA9:BB9"/>
    <mergeCell ref="BH9:BI9"/>
    <mergeCell ref="D9:E9"/>
    <mergeCell ref="K9:L9"/>
    <mergeCell ref="R9:S9"/>
    <mergeCell ref="Y9:Z9"/>
    <mergeCell ref="AF9:AH9"/>
    <mergeCell ref="BH5:BN5"/>
    <mergeCell ref="BH6:BN6"/>
    <mergeCell ref="A8:H8"/>
    <mergeCell ref="AF8:AJ8"/>
    <mergeCell ref="BH8:BK8"/>
    <mergeCell ref="BO2:BQ2"/>
    <mergeCell ref="BV2:BW2"/>
    <mergeCell ref="CC2:CD2"/>
    <mergeCell ref="CJ2:CK2"/>
    <mergeCell ref="D2:E2"/>
    <mergeCell ref="K2:L2"/>
    <mergeCell ref="R2:S2"/>
    <mergeCell ref="Y2:Z2"/>
    <mergeCell ref="AF2:AH2"/>
    <mergeCell ref="AM2:AN2"/>
    <mergeCell ref="A1:H1"/>
    <mergeCell ref="AF1:AJ1"/>
    <mergeCell ref="BH1:BK1"/>
    <mergeCell ref="AT2:AU2"/>
    <mergeCell ref="BA2:BB2"/>
    <mergeCell ref="BH2:BI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2876-2196-4F85-ABE1-E1B832C18D90}">
  <dimension ref="A1:AG16"/>
  <sheetViews>
    <sheetView showGridLines="0" topLeftCell="A4" zoomScale="50" zoomScaleNormal="50" workbookViewId="0">
      <selection activeCell="AF10" sqref="AF10"/>
    </sheetView>
  </sheetViews>
  <sheetFormatPr defaultColWidth="11.42578125" defaultRowHeight="14.45"/>
  <cols>
    <col min="1" max="1" width="57.85546875" customWidth="1"/>
    <col min="2" max="32" width="9.85546875" customWidth="1"/>
    <col min="33" max="33" width="17.140625" customWidth="1"/>
    <col min="34" max="90" width="5.85546875" bestFit="1" customWidth="1"/>
  </cols>
  <sheetData>
    <row r="1" spans="1:33" ht="50.45" customHeight="1">
      <c r="A1" s="40" t="s">
        <v>12</v>
      </c>
      <c r="B1" s="41"/>
      <c r="C1" s="41"/>
      <c r="D1" s="41"/>
      <c r="E1" s="41"/>
      <c r="F1" s="41"/>
      <c r="G1" s="41"/>
      <c r="H1" s="41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ht="1.1499999999999999" customHeight="1" thickBot="1">
      <c r="A2" s="42"/>
      <c r="B2" s="42"/>
      <c r="C2" s="42"/>
      <c r="D2" s="42"/>
      <c r="E2" s="42"/>
      <c r="F2" s="42"/>
      <c r="G2" s="42"/>
      <c r="H2" s="42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</row>
    <row r="3" spans="1:33" ht="36.6" customHeight="1" thickTop="1">
      <c r="A3" s="124" t="s">
        <v>13</v>
      </c>
      <c r="B3" s="125"/>
      <c r="C3" s="125"/>
      <c r="D3" s="125"/>
      <c r="E3" s="125"/>
      <c r="F3" s="125"/>
      <c r="G3" s="125"/>
      <c r="H3" s="125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105" t="s">
        <v>14</v>
      </c>
    </row>
    <row r="4" spans="1:33" s="5" customFormat="1" ht="28.9">
      <c r="A4" s="43" t="s">
        <v>15</v>
      </c>
      <c r="B4" s="123" t="s">
        <v>16</v>
      </c>
      <c r="C4" s="123"/>
      <c r="D4" s="109"/>
      <c r="E4" s="109">
        <v>1</v>
      </c>
      <c r="F4" s="109"/>
      <c r="G4" s="109"/>
      <c r="H4" s="109"/>
      <c r="I4" s="109"/>
      <c r="J4" s="109"/>
      <c r="K4" s="126">
        <v>2</v>
      </c>
      <c r="L4" s="126"/>
      <c r="M4" s="109"/>
      <c r="N4" s="109"/>
      <c r="O4" s="109"/>
      <c r="P4" s="109"/>
      <c r="Q4" s="109"/>
      <c r="R4" s="126">
        <v>3</v>
      </c>
      <c r="S4" s="126"/>
      <c r="T4" s="109"/>
      <c r="U4" s="109"/>
      <c r="V4" s="109"/>
      <c r="W4" s="109"/>
      <c r="X4" s="109"/>
      <c r="Y4" s="126">
        <v>4</v>
      </c>
      <c r="Z4" s="126"/>
      <c r="AA4" s="109"/>
      <c r="AB4" s="109"/>
      <c r="AC4" s="109"/>
      <c r="AD4" s="109"/>
      <c r="AE4" s="109"/>
      <c r="AF4" s="109">
        <v>5</v>
      </c>
      <c r="AG4" s="52" t="s">
        <v>17</v>
      </c>
    </row>
    <row r="5" spans="1:33" s="1" customFormat="1" ht="28.9">
      <c r="A5" s="44">
        <v>1</v>
      </c>
      <c r="B5" s="82">
        <v>1</v>
      </c>
      <c r="C5" s="30">
        <f t="shared" ref="C5:AE5" si="0">B5+1</f>
        <v>2</v>
      </c>
      <c r="D5" s="30">
        <f t="shared" si="0"/>
        <v>3</v>
      </c>
      <c r="E5" s="30">
        <f t="shared" si="0"/>
        <v>4</v>
      </c>
      <c r="F5" s="30">
        <f t="shared" si="0"/>
        <v>5</v>
      </c>
      <c r="G5" s="30">
        <f t="shared" si="0"/>
        <v>6</v>
      </c>
      <c r="H5" s="30">
        <f t="shared" si="0"/>
        <v>7</v>
      </c>
      <c r="I5" s="30">
        <f t="shared" si="0"/>
        <v>8</v>
      </c>
      <c r="J5" s="30">
        <f t="shared" si="0"/>
        <v>9</v>
      </c>
      <c r="K5" s="30">
        <f t="shared" si="0"/>
        <v>10</v>
      </c>
      <c r="L5" s="30">
        <f t="shared" si="0"/>
        <v>11</v>
      </c>
      <c r="M5" s="30">
        <f t="shared" si="0"/>
        <v>12</v>
      </c>
      <c r="N5" s="30">
        <f t="shared" si="0"/>
        <v>13</v>
      </c>
      <c r="O5" s="30">
        <f t="shared" si="0"/>
        <v>14</v>
      </c>
      <c r="P5" s="30">
        <f t="shared" si="0"/>
        <v>15</v>
      </c>
      <c r="Q5" s="30">
        <f t="shared" si="0"/>
        <v>16</v>
      </c>
      <c r="R5" s="30">
        <f t="shared" si="0"/>
        <v>17</v>
      </c>
      <c r="S5" s="30">
        <f t="shared" si="0"/>
        <v>18</v>
      </c>
      <c r="T5" s="30">
        <f t="shared" si="0"/>
        <v>19</v>
      </c>
      <c r="U5" s="30">
        <f t="shared" si="0"/>
        <v>20</v>
      </c>
      <c r="V5" s="30">
        <f t="shared" si="0"/>
        <v>21</v>
      </c>
      <c r="W5" s="30">
        <f t="shared" si="0"/>
        <v>22</v>
      </c>
      <c r="X5" s="30">
        <f t="shared" si="0"/>
        <v>23</v>
      </c>
      <c r="Y5" s="30">
        <f t="shared" si="0"/>
        <v>24</v>
      </c>
      <c r="Z5" s="30">
        <f t="shared" si="0"/>
        <v>25</v>
      </c>
      <c r="AA5" s="30">
        <f t="shared" si="0"/>
        <v>26</v>
      </c>
      <c r="AB5" s="30">
        <f t="shared" si="0"/>
        <v>27</v>
      </c>
      <c r="AC5" s="30">
        <f t="shared" si="0"/>
        <v>28</v>
      </c>
      <c r="AD5" s="30">
        <f t="shared" si="0"/>
        <v>29</v>
      </c>
      <c r="AE5" s="30">
        <f t="shared" si="0"/>
        <v>30</v>
      </c>
      <c r="AF5" s="30">
        <v>31</v>
      </c>
      <c r="AG5" s="31">
        <v>1</v>
      </c>
    </row>
    <row r="6" spans="1:33" ht="28.9">
      <c r="A6" s="45"/>
      <c r="B6" s="9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s="19" customFormat="1" ht="28.9">
      <c r="A7" s="46" t="s">
        <v>18</v>
      </c>
      <c r="B7" s="73">
        <f>RANDBETWEEN(10,15)</f>
        <v>12</v>
      </c>
      <c r="C7" s="73">
        <f>RANDBETWEEN(10,15)</f>
        <v>15</v>
      </c>
      <c r="D7" s="73">
        <f t="shared" ref="D7:AF7" si="1">RANDBETWEEN(10,15)</f>
        <v>12</v>
      </c>
      <c r="E7" s="73">
        <f t="shared" si="1"/>
        <v>14</v>
      </c>
      <c r="F7" s="73">
        <f t="shared" si="1"/>
        <v>11</v>
      </c>
      <c r="G7" s="73">
        <f t="shared" si="1"/>
        <v>11</v>
      </c>
      <c r="H7" s="73">
        <f t="shared" si="1"/>
        <v>14</v>
      </c>
      <c r="I7" s="73">
        <f t="shared" si="1"/>
        <v>15</v>
      </c>
      <c r="J7" s="73">
        <f t="shared" si="1"/>
        <v>10</v>
      </c>
      <c r="K7" s="73">
        <f t="shared" si="1"/>
        <v>13</v>
      </c>
      <c r="L7" s="73">
        <f t="shared" si="1"/>
        <v>11</v>
      </c>
      <c r="M7" s="73">
        <f t="shared" si="1"/>
        <v>14</v>
      </c>
      <c r="N7" s="73">
        <f t="shared" si="1"/>
        <v>11</v>
      </c>
      <c r="O7" s="73">
        <f t="shared" si="1"/>
        <v>11</v>
      </c>
      <c r="P7" s="73">
        <f t="shared" si="1"/>
        <v>11</v>
      </c>
      <c r="Q7" s="73">
        <f t="shared" si="1"/>
        <v>12</v>
      </c>
      <c r="R7" s="73">
        <f t="shared" si="1"/>
        <v>13</v>
      </c>
      <c r="S7" s="73">
        <f t="shared" si="1"/>
        <v>13</v>
      </c>
      <c r="T7" s="73">
        <f t="shared" si="1"/>
        <v>12</v>
      </c>
      <c r="U7" s="73">
        <f t="shared" si="1"/>
        <v>11</v>
      </c>
      <c r="V7" s="73">
        <f t="shared" si="1"/>
        <v>13</v>
      </c>
      <c r="W7" s="73">
        <f t="shared" si="1"/>
        <v>15</v>
      </c>
      <c r="X7" s="73">
        <f t="shared" si="1"/>
        <v>10</v>
      </c>
      <c r="Y7" s="73">
        <f t="shared" si="1"/>
        <v>15</v>
      </c>
      <c r="Z7" s="73">
        <f t="shared" si="1"/>
        <v>12</v>
      </c>
      <c r="AA7" s="73">
        <f t="shared" si="1"/>
        <v>15</v>
      </c>
      <c r="AB7" s="73">
        <f t="shared" si="1"/>
        <v>10</v>
      </c>
      <c r="AC7" s="73">
        <f t="shared" si="1"/>
        <v>10</v>
      </c>
      <c r="AD7" s="73">
        <f t="shared" si="1"/>
        <v>13</v>
      </c>
      <c r="AE7" s="73">
        <f t="shared" si="1"/>
        <v>10</v>
      </c>
      <c r="AF7" s="73">
        <f t="shared" si="1"/>
        <v>13</v>
      </c>
      <c r="AG7" s="33"/>
    </row>
    <row r="8" spans="1:33" s="19" customFormat="1" ht="28.9">
      <c r="A8" s="46" t="s">
        <v>19</v>
      </c>
      <c r="B8" s="76">
        <f>RANDBETWEEN(20,25)/100</f>
        <v>0.2</v>
      </c>
      <c r="C8" s="76">
        <f>RANDBETWEEN(20,25)/100</f>
        <v>0.21</v>
      </c>
      <c r="D8" s="76">
        <f t="shared" ref="D8:AF8" si="2">RANDBETWEEN(20,25)/100</f>
        <v>0.25</v>
      </c>
      <c r="E8" s="76">
        <f t="shared" si="2"/>
        <v>0.21</v>
      </c>
      <c r="F8" s="76">
        <f t="shared" si="2"/>
        <v>0.21</v>
      </c>
      <c r="G8" s="76">
        <f t="shared" si="2"/>
        <v>0.22</v>
      </c>
      <c r="H8" s="76">
        <f t="shared" si="2"/>
        <v>0.25</v>
      </c>
      <c r="I8" s="76">
        <f t="shared" si="2"/>
        <v>0.21</v>
      </c>
      <c r="J8" s="76">
        <f t="shared" si="2"/>
        <v>0.23</v>
      </c>
      <c r="K8" s="76">
        <f t="shared" si="2"/>
        <v>0.23</v>
      </c>
      <c r="L8" s="76">
        <f t="shared" si="2"/>
        <v>0.25</v>
      </c>
      <c r="M8" s="76">
        <f t="shared" si="2"/>
        <v>0.25</v>
      </c>
      <c r="N8" s="76">
        <f t="shared" si="2"/>
        <v>0.24</v>
      </c>
      <c r="O8" s="76">
        <f t="shared" si="2"/>
        <v>0.21</v>
      </c>
      <c r="P8" s="76">
        <f t="shared" si="2"/>
        <v>0.24</v>
      </c>
      <c r="Q8" s="76">
        <f t="shared" si="2"/>
        <v>0.2</v>
      </c>
      <c r="R8" s="76">
        <f t="shared" si="2"/>
        <v>0.23</v>
      </c>
      <c r="S8" s="76">
        <f t="shared" si="2"/>
        <v>0.24</v>
      </c>
      <c r="T8" s="76">
        <f t="shared" si="2"/>
        <v>0.25</v>
      </c>
      <c r="U8" s="76">
        <f t="shared" si="2"/>
        <v>0.21</v>
      </c>
      <c r="V8" s="76">
        <f t="shared" si="2"/>
        <v>0.21</v>
      </c>
      <c r="W8" s="76">
        <f t="shared" si="2"/>
        <v>0.22</v>
      </c>
      <c r="X8" s="76">
        <f t="shared" si="2"/>
        <v>0.21</v>
      </c>
      <c r="Y8" s="76">
        <f t="shared" si="2"/>
        <v>0.2</v>
      </c>
      <c r="Z8" s="76">
        <f t="shared" si="2"/>
        <v>0.22</v>
      </c>
      <c r="AA8" s="76">
        <f t="shared" si="2"/>
        <v>0.24</v>
      </c>
      <c r="AB8" s="76">
        <f t="shared" si="2"/>
        <v>0.24</v>
      </c>
      <c r="AC8" s="76">
        <f t="shared" si="2"/>
        <v>0.22</v>
      </c>
      <c r="AD8" s="76">
        <f t="shared" si="2"/>
        <v>0.25</v>
      </c>
      <c r="AE8" s="76">
        <f t="shared" si="2"/>
        <v>0.2</v>
      </c>
      <c r="AF8" s="76">
        <f t="shared" si="2"/>
        <v>0.25</v>
      </c>
      <c r="AG8" s="33"/>
    </row>
    <row r="9" spans="1:33" s="19" customFormat="1" ht="29.45" thickBot="1">
      <c r="A9" s="47" t="s">
        <v>20</v>
      </c>
      <c r="B9" s="79">
        <f>RANDBETWEEN(2300,2600)</f>
        <v>2551</v>
      </c>
      <c r="C9" s="79">
        <f>RANDBETWEEN(2300,2600)</f>
        <v>2390</v>
      </c>
      <c r="D9" s="79">
        <f t="shared" ref="D9:AF9" si="3">RANDBETWEEN(2300,2600)</f>
        <v>2400</v>
      </c>
      <c r="E9" s="79">
        <f t="shared" si="3"/>
        <v>2577</v>
      </c>
      <c r="F9" s="79">
        <f t="shared" si="3"/>
        <v>2521</v>
      </c>
      <c r="G9" s="79">
        <f t="shared" si="3"/>
        <v>2511</v>
      </c>
      <c r="H9" s="79">
        <f t="shared" si="3"/>
        <v>2397</v>
      </c>
      <c r="I9" s="79">
        <f t="shared" si="3"/>
        <v>2526</v>
      </c>
      <c r="J9" s="79">
        <f t="shared" si="3"/>
        <v>2465</v>
      </c>
      <c r="K9" s="79">
        <f t="shared" si="3"/>
        <v>2340</v>
      </c>
      <c r="L9" s="79">
        <f t="shared" si="3"/>
        <v>2353</v>
      </c>
      <c r="M9" s="79">
        <f t="shared" si="3"/>
        <v>2527</v>
      </c>
      <c r="N9" s="79">
        <f t="shared" si="3"/>
        <v>2421</v>
      </c>
      <c r="O9" s="79">
        <f t="shared" si="3"/>
        <v>2314</v>
      </c>
      <c r="P9" s="79">
        <f t="shared" si="3"/>
        <v>2355</v>
      </c>
      <c r="Q9" s="79">
        <f t="shared" si="3"/>
        <v>2313</v>
      </c>
      <c r="R9" s="79">
        <f t="shared" si="3"/>
        <v>2382</v>
      </c>
      <c r="S9" s="79">
        <f t="shared" si="3"/>
        <v>2552</v>
      </c>
      <c r="T9" s="79">
        <f t="shared" si="3"/>
        <v>2304</v>
      </c>
      <c r="U9" s="79">
        <f t="shared" si="3"/>
        <v>2341</v>
      </c>
      <c r="V9" s="79">
        <f t="shared" si="3"/>
        <v>2538</v>
      </c>
      <c r="W9" s="79">
        <f t="shared" si="3"/>
        <v>2515</v>
      </c>
      <c r="X9" s="79">
        <f t="shared" si="3"/>
        <v>2518</v>
      </c>
      <c r="Y9" s="79">
        <f t="shared" si="3"/>
        <v>2562</v>
      </c>
      <c r="Z9" s="79">
        <f t="shared" si="3"/>
        <v>2590</v>
      </c>
      <c r="AA9" s="79">
        <f t="shared" si="3"/>
        <v>2594</v>
      </c>
      <c r="AB9" s="79">
        <f t="shared" si="3"/>
        <v>2332</v>
      </c>
      <c r="AC9" s="79">
        <f t="shared" si="3"/>
        <v>2410</v>
      </c>
      <c r="AD9" s="79">
        <f t="shared" si="3"/>
        <v>2348</v>
      </c>
      <c r="AE9" s="79">
        <f t="shared" si="3"/>
        <v>2356</v>
      </c>
      <c r="AF9" s="79">
        <f t="shared" si="3"/>
        <v>2503</v>
      </c>
      <c r="AG9" s="33"/>
    </row>
    <row r="10" spans="1:33" s="19" customFormat="1" ht="29.45" thickTop="1">
      <c r="A10" s="46" t="s">
        <v>21</v>
      </c>
      <c r="B10" s="34">
        <f>RANDBETWEEN(10,15)</f>
        <v>11</v>
      </c>
      <c r="C10" s="34">
        <f t="shared" ref="C10:AF10" si="4">RANDBETWEEN(10,15)</f>
        <v>12</v>
      </c>
      <c r="D10" s="34">
        <f t="shared" si="4"/>
        <v>12</v>
      </c>
      <c r="E10" s="34">
        <f t="shared" si="4"/>
        <v>15</v>
      </c>
      <c r="F10" s="34">
        <f t="shared" si="4"/>
        <v>11</v>
      </c>
      <c r="G10" s="34">
        <f t="shared" si="4"/>
        <v>10</v>
      </c>
      <c r="H10" s="34">
        <f t="shared" si="4"/>
        <v>10</v>
      </c>
      <c r="I10" s="34">
        <f t="shared" si="4"/>
        <v>12</v>
      </c>
      <c r="J10" s="34">
        <f t="shared" si="4"/>
        <v>12</v>
      </c>
      <c r="K10" s="34">
        <f t="shared" si="4"/>
        <v>11</v>
      </c>
      <c r="L10" s="34">
        <f t="shared" si="4"/>
        <v>11</v>
      </c>
      <c r="M10" s="34">
        <f t="shared" si="4"/>
        <v>12</v>
      </c>
      <c r="N10" s="34">
        <f t="shared" si="4"/>
        <v>11</v>
      </c>
      <c r="O10" s="34">
        <f t="shared" si="4"/>
        <v>15</v>
      </c>
      <c r="P10" s="34">
        <f t="shared" si="4"/>
        <v>12</v>
      </c>
      <c r="Q10" s="34">
        <f t="shared" si="4"/>
        <v>13</v>
      </c>
      <c r="R10" s="34">
        <f t="shared" si="4"/>
        <v>12</v>
      </c>
      <c r="S10" s="34">
        <f t="shared" si="4"/>
        <v>10</v>
      </c>
      <c r="T10" s="34">
        <f t="shared" si="4"/>
        <v>12</v>
      </c>
      <c r="U10" s="34">
        <f t="shared" si="4"/>
        <v>10</v>
      </c>
      <c r="V10" s="34">
        <f t="shared" si="4"/>
        <v>14</v>
      </c>
      <c r="W10" s="34">
        <f t="shared" si="4"/>
        <v>15</v>
      </c>
      <c r="X10" s="34">
        <f t="shared" si="4"/>
        <v>12</v>
      </c>
      <c r="Y10" s="34">
        <f t="shared" si="4"/>
        <v>15</v>
      </c>
      <c r="Z10" s="34">
        <f t="shared" si="4"/>
        <v>14</v>
      </c>
      <c r="AA10" s="34">
        <f t="shared" si="4"/>
        <v>12</v>
      </c>
      <c r="AB10" s="34">
        <f t="shared" si="4"/>
        <v>13</v>
      </c>
      <c r="AC10" s="34">
        <f t="shared" si="4"/>
        <v>15</v>
      </c>
      <c r="AD10" s="34">
        <f t="shared" si="4"/>
        <v>14</v>
      </c>
      <c r="AE10" s="34">
        <f t="shared" si="4"/>
        <v>10</v>
      </c>
      <c r="AF10" s="34">
        <f t="shared" si="4"/>
        <v>15</v>
      </c>
      <c r="AG10" s="33"/>
    </row>
    <row r="11" spans="1:33" s="19" customFormat="1" ht="28.9">
      <c r="A11" s="46" t="s">
        <v>22</v>
      </c>
      <c r="B11" s="35">
        <f>RANDBETWEEN(20,25)/100</f>
        <v>0.25</v>
      </c>
      <c r="C11" s="35">
        <f t="shared" ref="C11:AF11" si="5">RANDBETWEEN(20,25)/100</f>
        <v>0.2</v>
      </c>
      <c r="D11" s="35">
        <f t="shared" si="5"/>
        <v>0.2</v>
      </c>
      <c r="E11" s="35">
        <f t="shared" si="5"/>
        <v>0.2</v>
      </c>
      <c r="F11" s="35">
        <f t="shared" si="5"/>
        <v>0.24</v>
      </c>
      <c r="G11" s="35">
        <f t="shared" si="5"/>
        <v>0.23</v>
      </c>
      <c r="H11" s="35">
        <f t="shared" si="5"/>
        <v>0.22</v>
      </c>
      <c r="I11" s="35">
        <f t="shared" si="5"/>
        <v>0.23</v>
      </c>
      <c r="J11" s="35">
        <f t="shared" si="5"/>
        <v>0.22</v>
      </c>
      <c r="K11" s="35">
        <f t="shared" si="5"/>
        <v>0.2</v>
      </c>
      <c r="L11" s="35">
        <f t="shared" si="5"/>
        <v>0.25</v>
      </c>
      <c r="M11" s="35">
        <f t="shared" si="5"/>
        <v>0.2</v>
      </c>
      <c r="N11" s="35">
        <f t="shared" si="5"/>
        <v>0.21</v>
      </c>
      <c r="O11" s="35">
        <f t="shared" si="5"/>
        <v>0.23</v>
      </c>
      <c r="P11" s="35">
        <f t="shared" si="5"/>
        <v>0.21</v>
      </c>
      <c r="Q11" s="35">
        <f t="shared" si="5"/>
        <v>0.23</v>
      </c>
      <c r="R11" s="35">
        <f t="shared" si="5"/>
        <v>0.2</v>
      </c>
      <c r="S11" s="35">
        <f t="shared" si="5"/>
        <v>0.21</v>
      </c>
      <c r="T11" s="35">
        <f t="shared" si="5"/>
        <v>0.23</v>
      </c>
      <c r="U11" s="35">
        <f t="shared" si="5"/>
        <v>0.22</v>
      </c>
      <c r="V11" s="35">
        <f t="shared" si="5"/>
        <v>0.24</v>
      </c>
      <c r="W11" s="35">
        <f t="shared" si="5"/>
        <v>0.21</v>
      </c>
      <c r="X11" s="35">
        <f t="shared" si="5"/>
        <v>0.24</v>
      </c>
      <c r="Y11" s="35">
        <f t="shared" si="5"/>
        <v>0.23</v>
      </c>
      <c r="Z11" s="35">
        <f t="shared" si="5"/>
        <v>0.22</v>
      </c>
      <c r="AA11" s="35">
        <f t="shared" si="5"/>
        <v>0.2</v>
      </c>
      <c r="AB11" s="35">
        <f t="shared" si="5"/>
        <v>0.22</v>
      </c>
      <c r="AC11" s="35">
        <f t="shared" si="5"/>
        <v>0.2</v>
      </c>
      <c r="AD11" s="35">
        <f t="shared" si="5"/>
        <v>0.25</v>
      </c>
      <c r="AE11" s="35">
        <f t="shared" si="5"/>
        <v>0.2</v>
      </c>
      <c r="AF11" s="35">
        <f t="shared" si="5"/>
        <v>0.22</v>
      </c>
      <c r="AG11" s="33"/>
    </row>
    <row r="12" spans="1:33" s="19" customFormat="1" ht="29.45" thickBot="1">
      <c r="A12" s="48" t="s">
        <v>23</v>
      </c>
      <c r="B12" s="36">
        <f>RANDBETWEEN(2300,2600)</f>
        <v>2473</v>
      </c>
      <c r="C12" s="36">
        <f t="shared" ref="C12:AF12" si="6">RANDBETWEEN(2300,2600)</f>
        <v>2557</v>
      </c>
      <c r="D12" s="36">
        <f t="shared" si="6"/>
        <v>2554</v>
      </c>
      <c r="E12" s="36">
        <f t="shared" si="6"/>
        <v>2476</v>
      </c>
      <c r="F12" s="36">
        <f t="shared" si="6"/>
        <v>2445</v>
      </c>
      <c r="G12" s="36">
        <f t="shared" si="6"/>
        <v>2410</v>
      </c>
      <c r="H12" s="36">
        <f t="shared" si="6"/>
        <v>2464</v>
      </c>
      <c r="I12" s="36">
        <f t="shared" si="6"/>
        <v>2319</v>
      </c>
      <c r="J12" s="36">
        <f t="shared" si="6"/>
        <v>2344</v>
      </c>
      <c r="K12" s="36">
        <f t="shared" si="6"/>
        <v>2341</v>
      </c>
      <c r="L12" s="36">
        <f t="shared" si="6"/>
        <v>2331</v>
      </c>
      <c r="M12" s="36">
        <f t="shared" si="6"/>
        <v>2373</v>
      </c>
      <c r="N12" s="36">
        <f t="shared" si="6"/>
        <v>2310</v>
      </c>
      <c r="O12" s="36">
        <f t="shared" si="6"/>
        <v>2351</v>
      </c>
      <c r="P12" s="36">
        <f t="shared" si="6"/>
        <v>2346</v>
      </c>
      <c r="Q12" s="36">
        <f t="shared" si="6"/>
        <v>2410</v>
      </c>
      <c r="R12" s="36">
        <f t="shared" si="6"/>
        <v>2310</v>
      </c>
      <c r="S12" s="36">
        <f t="shared" si="6"/>
        <v>2333</v>
      </c>
      <c r="T12" s="36">
        <f t="shared" si="6"/>
        <v>2472</v>
      </c>
      <c r="U12" s="36">
        <f t="shared" si="6"/>
        <v>2578</v>
      </c>
      <c r="V12" s="36">
        <f t="shared" si="6"/>
        <v>2313</v>
      </c>
      <c r="W12" s="36">
        <f t="shared" si="6"/>
        <v>2565</v>
      </c>
      <c r="X12" s="36">
        <f t="shared" si="6"/>
        <v>2333</v>
      </c>
      <c r="Y12" s="36">
        <f t="shared" si="6"/>
        <v>2308</v>
      </c>
      <c r="Z12" s="36">
        <f t="shared" si="6"/>
        <v>2420</v>
      </c>
      <c r="AA12" s="36">
        <f t="shared" si="6"/>
        <v>2377</v>
      </c>
      <c r="AB12" s="36">
        <f t="shared" si="6"/>
        <v>2335</v>
      </c>
      <c r="AC12" s="36">
        <f t="shared" si="6"/>
        <v>2518</v>
      </c>
      <c r="AD12" s="36">
        <f t="shared" si="6"/>
        <v>2462</v>
      </c>
      <c r="AE12" s="36">
        <f t="shared" si="6"/>
        <v>2347</v>
      </c>
      <c r="AF12" s="36">
        <f t="shared" si="6"/>
        <v>2339</v>
      </c>
      <c r="AG12" s="33"/>
    </row>
    <row r="13" spans="1:33" ht="30" thickTop="1" thickBot="1">
      <c r="A13" s="49" t="s">
        <v>24</v>
      </c>
      <c r="B13" s="37">
        <f>B10-B7</f>
        <v>-1</v>
      </c>
      <c r="C13" s="37">
        <f t="shared" ref="C13:AF13" si="7">C10-C7</f>
        <v>-3</v>
      </c>
      <c r="D13" s="37">
        <f t="shared" si="7"/>
        <v>0</v>
      </c>
      <c r="E13" s="37">
        <f t="shared" si="7"/>
        <v>1</v>
      </c>
      <c r="F13" s="37">
        <f t="shared" si="7"/>
        <v>0</v>
      </c>
      <c r="G13" s="37">
        <f t="shared" si="7"/>
        <v>-1</v>
      </c>
      <c r="H13" s="37">
        <f t="shared" si="7"/>
        <v>-4</v>
      </c>
      <c r="I13" s="37">
        <f t="shared" si="7"/>
        <v>-3</v>
      </c>
      <c r="J13" s="37">
        <f t="shared" si="7"/>
        <v>2</v>
      </c>
      <c r="K13" s="37">
        <f t="shared" si="7"/>
        <v>-2</v>
      </c>
      <c r="L13" s="37">
        <f t="shared" si="7"/>
        <v>0</v>
      </c>
      <c r="M13" s="37">
        <f t="shared" si="7"/>
        <v>-2</v>
      </c>
      <c r="N13" s="37">
        <f t="shared" si="7"/>
        <v>0</v>
      </c>
      <c r="O13" s="37">
        <f t="shared" si="7"/>
        <v>4</v>
      </c>
      <c r="P13" s="37">
        <f t="shared" si="7"/>
        <v>1</v>
      </c>
      <c r="Q13" s="37">
        <f t="shared" si="7"/>
        <v>1</v>
      </c>
      <c r="R13" s="37">
        <f t="shared" si="7"/>
        <v>-1</v>
      </c>
      <c r="S13" s="37">
        <f t="shared" si="7"/>
        <v>-3</v>
      </c>
      <c r="T13" s="37">
        <f t="shared" si="7"/>
        <v>0</v>
      </c>
      <c r="U13" s="37">
        <f t="shared" si="7"/>
        <v>-1</v>
      </c>
      <c r="V13" s="37">
        <f t="shared" si="7"/>
        <v>1</v>
      </c>
      <c r="W13" s="37">
        <f t="shared" si="7"/>
        <v>0</v>
      </c>
      <c r="X13" s="37">
        <f t="shared" si="7"/>
        <v>2</v>
      </c>
      <c r="Y13" s="37">
        <f t="shared" si="7"/>
        <v>0</v>
      </c>
      <c r="Z13" s="37">
        <f t="shared" si="7"/>
        <v>2</v>
      </c>
      <c r="AA13" s="37">
        <f t="shared" si="7"/>
        <v>-3</v>
      </c>
      <c r="AB13" s="37">
        <f t="shared" si="7"/>
        <v>3</v>
      </c>
      <c r="AC13" s="37">
        <f t="shared" si="7"/>
        <v>5</v>
      </c>
      <c r="AD13" s="37">
        <f t="shared" si="7"/>
        <v>1</v>
      </c>
      <c r="AE13" s="37">
        <f t="shared" si="7"/>
        <v>0</v>
      </c>
      <c r="AF13" s="37">
        <f t="shared" si="7"/>
        <v>2</v>
      </c>
      <c r="AG13" s="33"/>
    </row>
    <row r="14" spans="1:33" ht="30" thickTop="1" thickBot="1">
      <c r="A14" s="50" t="s">
        <v>25</v>
      </c>
      <c r="B14" s="60">
        <f>B11-B8</f>
        <v>4.9999999999999989E-2</v>
      </c>
      <c r="C14" s="60">
        <f t="shared" ref="C14:AF14" si="8">C11-C8</f>
        <v>-9.9999999999999811E-3</v>
      </c>
      <c r="D14" s="60">
        <f t="shared" si="8"/>
        <v>-4.9999999999999989E-2</v>
      </c>
      <c r="E14" s="60">
        <f t="shared" si="8"/>
        <v>-9.9999999999999811E-3</v>
      </c>
      <c r="F14" s="60">
        <f t="shared" si="8"/>
        <v>0.03</v>
      </c>
      <c r="G14" s="60">
        <f t="shared" si="8"/>
        <v>1.0000000000000009E-2</v>
      </c>
      <c r="H14" s="60">
        <f t="shared" si="8"/>
        <v>-0.03</v>
      </c>
      <c r="I14" s="60">
        <f t="shared" si="8"/>
        <v>2.0000000000000018E-2</v>
      </c>
      <c r="J14" s="60">
        <f t="shared" si="8"/>
        <v>-1.0000000000000009E-2</v>
      </c>
      <c r="K14" s="60">
        <f t="shared" si="8"/>
        <v>-0.03</v>
      </c>
      <c r="L14" s="60">
        <f t="shared" si="8"/>
        <v>0</v>
      </c>
      <c r="M14" s="60">
        <f t="shared" si="8"/>
        <v>-4.9999999999999989E-2</v>
      </c>
      <c r="N14" s="60">
        <f t="shared" si="8"/>
        <v>-0.03</v>
      </c>
      <c r="O14" s="60">
        <f t="shared" si="8"/>
        <v>2.0000000000000018E-2</v>
      </c>
      <c r="P14" s="60">
        <f t="shared" si="8"/>
        <v>-0.03</v>
      </c>
      <c r="Q14" s="60">
        <f t="shared" si="8"/>
        <v>0.03</v>
      </c>
      <c r="R14" s="60">
        <f t="shared" si="8"/>
        <v>-0.03</v>
      </c>
      <c r="S14" s="60">
        <f t="shared" si="8"/>
        <v>-0.03</v>
      </c>
      <c r="T14" s="60">
        <f t="shared" si="8"/>
        <v>-1.999999999999999E-2</v>
      </c>
      <c r="U14" s="60">
        <f t="shared" si="8"/>
        <v>1.0000000000000009E-2</v>
      </c>
      <c r="V14" s="60">
        <f t="shared" si="8"/>
        <v>0.03</v>
      </c>
      <c r="W14" s="60">
        <f t="shared" si="8"/>
        <v>-1.0000000000000009E-2</v>
      </c>
      <c r="X14" s="60">
        <f t="shared" si="8"/>
        <v>0.03</v>
      </c>
      <c r="Y14" s="60">
        <f t="shared" si="8"/>
        <v>0.03</v>
      </c>
      <c r="Z14" s="60">
        <f t="shared" si="8"/>
        <v>0</v>
      </c>
      <c r="AA14" s="60">
        <f t="shared" si="8"/>
        <v>-3.999999999999998E-2</v>
      </c>
      <c r="AB14" s="60">
        <f t="shared" si="8"/>
        <v>-1.999999999999999E-2</v>
      </c>
      <c r="AC14" s="60">
        <f t="shared" si="8"/>
        <v>-1.999999999999999E-2</v>
      </c>
      <c r="AD14" s="60">
        <f t="shared" si="8"/>
        <v>0</v>
      </c>
      <c r="AE14" s="60">
        <f t="shared" si="8"/>
        <v>0</v>
      </c>
      <c r="AF14" s="60">
        <f t="shared" si="8"/>
        <v>-0.03</v>
      </c>
      <c r="AG14" s="33"/>
    </row>
    <row r="15" spans="1:33" ht="30" thickTop="1" thickBot="1">
      <c r="A15" s="51" t="s">
        <v>26</v>
      </c>
      <c r="B15" s="38">
        <f>B12-B9</f>
        <v>-78</v>
      </c>
      <c r="C15" s="38">
        <f t="shared" ref="C15:AF15" si="9">C12-C9</f>
        <v>167</v>
      </c>
      <c r="D15" s="38">
        <f t="shared" si="9"/>
        <v>154</v>
      </c>
      <c r="E15" s="38">
        <f t="shared" si="9"/>
        <v>-101</v>
      </c>
      <c r="F15" s="38">
        <f t="shared" si="9"/>
        <v>-76</v>
      </c>
      <c r="G15" s="38">
        <f t="shared" si="9"/>
        <v>-101</v>
      </c>
      <c r="H15" s="38">
        <f t="shared" si="9"/>
        <v>67</v>
      </c>
      <c r="I15" s="38">
        <f t="shared" si="9"/>
        <v>-207</v>
      </c>
      <c r="J15" s="38">
        <f t="shared" si="9"/>
        <v>-121</v>
      </c>
      <c r="K15" s="38">
        <f t="shared" si="9"/>
        <v>1</v>
      </c>
      <c r="L15" s="38">
        <f t="shared" si="9"/>
        <v>-22</v>
      </c>
      <c r="M15" s="38">
        <f t="shared" si="9"/>
        <v>-154</v>
      </c>
      <c r="N15" s="38">
        <f t="shared" si="9"/>
        <v>-111</v>
      </c>
      <c r="O15" s="38">
        <f t="shared" si="9"/>
        <v>37</v>
      </c>
      <c r="P15" s="38">
        <f t="shared" si="9"/>
        <v>-9</v>
      </c>
      <c r="Q15" s="38">
        <f t="shared" si="9"/>
        <v>97</v>
      </c>
      <c r="R15" s="38">
        <f t="shared" si="9"/>
        <v>-72</v>
      </c>
      <c r="S15" s="38">
        <f t="shared" si="9"/>
        <v>-219</v>
      </c>
      <c r="T15" s="38">
        <f t="shared" si="9"/>
        <v>168</v>
      </c>
      <c r="U15" s="38">
        <f t="shared" si="9"/>
        <v>237</v>
      </c>
      <c r="V15" s="38">
        <f t="shared" si="9"/>
        <v>-225</v>
      </c>
      <c r="W15" s="38">
        <f t="shared" si="9"/>
        <v>50</v>
      </c>
      <c r="X15" s="38">
        <f t="shared" si="9"/>
        <v>-185</v>
      </c>
      <c r="Y15" s="38">
        <f t="shared" si="9"/>
        <v>-254</v>
      </c>
      <c r="Z15" s="38">
        <f t="shared" si="9"/>
        <v>-170</v>
      </c>
      <c r="AA15" s="38">
        <f t="shared" si="9"/>
        <v>-217</v>
      </c>
      <c r="AB15" s="38">
        <f t="shared" si="9"/>
        <v>3</v>
      </c>
      <c r="AC15" s="38">
        <f t="shared" si="9"/>
        <v>108</v>
      </c>
      <c r="AD15" s="38">
        <f t="shared" si="9"/>
        <v>114</v>
      </c>
      <c r="AE15" s="38">
        <f t="shared" si="9"/>
        <v>-9</v>
      </c>
      <c r="AF15" s="38">
        <f t="shared" si="9"/>
        <v>-164</v>
      </c>
      <c r="AG15" s="39"/>
    </row>
    <row r="16" spans="1:33" ht="15" thickTop="1"/>
  </sheetData>
  <mergeCells count="5">
    <mergeCell ref="B4:C4"/>
    <mergeCell ref="A3:H3"/>
    <mergeCell ref="K4:L4"/>
    <mergeCell ref="R4:S4"/>
    <mergeCell ref="Y4:Z4"/>
  </mergeCells>
  <conditionalFormatting sqref="B13:AF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AF1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AF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90E1-67C4-4124-835F-F3C65A70C548}">
  <dimension ref="A1:AG17"/>
  <sheetViews>
    <sheetView showGridLines="0" zoomScale="40" zoomScaleNormal="40" workbookViewId="0">
      <selection activeCell="H65" sqref="H65"/>
    </sheetView>
  </sheetViews>
  <sheetFormatPr defaultColWidth="50.85546875" defaultRowHeight="14.45"/>
  <cols>
    <col min="1" max="1" width="47.5703125" customWidth="1"/>
    <col min="2" max="2" width="12.85546875" bestFit="1" customWidth="1"/>
    <col min="3" max="3" width="11.28515625" bestFit="1" customWidth="1"/>
    <col min="4" max="5" width="12.85546875" bestFit="1" customWidth="1"/>
    <col min="6" max="7" width="11.28515625" bestFit="1" customWidth="1"/>
    <col min="8" max="8" width="12.85546875" bestFit="1" customWidth="1"/>
    <col min="9" max="9" width="11.28515625" bestFit="1" customWidth="1"/>
    <col min="10" max="11" width="12.85546875" bestFit="1" customWidth="1"/>
    <col min="12" max="12" width="11.28515625" bestFit="1" customWidth="1"/>
    <col min="13" max="16" width="12.85546875" bestFit="1" customWidth="1"/>
    <col min="17" max="17" width="15.85546875" customWidth="1"/>
    <col min="18" max="18" width="11.28515625" bestFit="1" customWidth="1"/>
    <col min="19" max="21" width="12.85546875" bestFit="1" customWidth="1"/>
    <col min="22" max="22" width="11.28515625" bestFit="1" customWidth="1"/>
    <col min="23" max="26" width="12.85546875" bestFit="1" customWidth="1"/>
    <col min="27" max="27" width="11.28515625" bestFit="1" customWidth="1"/>
    <col min="28" max="28" width="12.85546875" bestFit="1" customWidth="1"/>
    <col min="29" max="31" width="11.28515625" bestFit="1" customWidth="1"/>
    <col min="32" max="32" width="15.28515625" customWidth="1"/>
    <col min="33" max="33" width="10.5703125" customWidth="1"/>
  </cols>
  <sheetData>
    <row r="1" spans="1:33" ht="46.15" customHeight="1">
      <c r="A1" s="40" t="s">
        <v>27</v>
      </c>
      <c r="B1" s="41"/>
      <c r="C1" s="41"/>
      <c r="D1" s="41"/>
      <c r="E1" s="41"/>
      <c r="F1" s="41"/>
      <c r="G1" s="41"/>
      <c r="H1" s="41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53"/>
      <c r="AG1" s="61"/>
    </row>
    <row r="2" spans="1:33" ht="3.6" customHeight="1" thickBot="1">
      <c r="A2" s="42"/>
      <c r="B2" s="42"/>
      <c r="C2" s="42"/>
      <c r="D2" s="42"/>
      <c r="E2" s="42"/>
      <c r="F2" s="42"/>
      <c r="G2" s="42"/>
      <c r="H2" s="42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54"/>
      <c r="AG2" s="61"/>
    </row>
    <row r="3" spans="1:33" ht="37.15" thickTop="1">
      <c r="A3" s="132" t="s">
        <v>0</v>
      </c>
      <c r="B3" s="133"/>
      <c r="C3" s="133"/>
      <c r="D3" s="133"/>
      <c r="E3" s="133"/>
      <c r="F3" s="133"/>
      <c r="G3" s="133"/>
      <c r="H3" s="133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55"/>
      <c r="AG3" s="61"/>
    </row>
    <row r="4" spans="1:33" ht="28.9">
      <c r="A4" s="43" t="s">
        <v>3</v>
      </c>
      <c r="B4" s="123" t="s">
        <v>28</v>
      </c>
      <c r="C4" s="123"/>
      <c r="D4" s="109"/>
      <c r="E4" s="109">
        <v>1</v>
      </c>
      <c r="F4" s="109"/>
      <c r="G4" s="109"/>
      <c r="H4" s="109"/>
      <c r="I4" s="109"/>
      <c r="J4" s="109"/>
      <c r="K4" s="126">
        <v>2</v>
      </c>
      <c r="L4" s="126"/>
      <c r="M4" s="128" t="s">
        <v>29</v>
      </c>
      <c r="N4" s="129"/>
      <c r="O4" s="129"/>
      <c r="P4" s="129"/>
      <c r="Q4" s="129"/>
      <c r="R4" s="127">
        <v>3</v>
      </c>
      <c r="S4" s="127"/>
      <c r="T4" s="110"/>
      <c r="U4" s="110"/>
      <c r="V4" s="110"/>
      <c r="W4" s="110"/>
      <c r="X4" s="110"/>
      <c r="Y4" s="127">
        <v>4</v>
      </c>
      <c r="Z4" s="127"/>
      <c r="AA4" s="110"/>
      <c r="AB4" s="110"/>
      <c r="AC4" s="110"/>
      <c r="AD4" s="110"/>
      <c r="AE4" s="110"/>
      <c r="AF4" s="66">
        <v>5</v>
      </c>
      <c r="AG4" s="61"/>
    </row>
    <row r="5" spans="1:33" ht="28.9">
      <c r="A5" s="44">
        <v>1</v>
      </c>
      <c r="B5" s="82">
        <v>1</v>
      </c>
      <c r="C5" s="30">
        <f t="shared" ref="C5:AE5" si="0">B5+1</f>
        <v>2</v>
      </c>
      <c r="D5" s="30">
        <f t="shared" si="0"/>
        <v>3</v>
      </c>
      <c r="E5" s="30">
        <f t="shared" si="0"/>
        <v>4</v>
      </c>
      <c r="F5" s="30">
        <f t="shared" si="0"/>
        <v>5</v>
      </c>
      <c r="G5" s="30">
        <f t="shared" si="0"/>
        <v>6</v>
      </c>
      <c r="H5" s="30">
        <f t="shared" si="0"/>
        <v>7</v>
      </c>
      <c r="I5" s="30">
        <f t="shared" si="0"/>
        <v>8</v>
      </c>
      <c r="J5" s="30">
        <f t="shared" si="0"/>
        <v>9</v>
      </c>
      <c r="K5" s="30">
        <f t="shared" si="0"/>
        <v>10</v>
      </c>
      <c r="L5" s="30">
        <f t="shared" si="0"/>
        <v>11</v>
      </c>
      <c r="M5" s="69">
        <f t="shared" si="0"/>
        <v>12</v>
      </c>
      <c r="N5" s="67">
        <f t="shared" si="0"/>
        <v>13</v>
      </c>
      <c r="O5" s="67">
        <f t="shared" si="0"/>
        <v>14</v>
      </c>
      <c r="P5" s="67">
        <f t="shared" si="0"/>
        <v>15</v>
      </c>
      <c r="Q5" s="67">
        <f t="shared" si="0"/>
        <v>16</v>
      </c>
      <c r="R5" s="67">
        <f t="shared" si="0"/>
        <v>17</v>
      </c>
      <c r="S5" s="67">
        <f t="shared" si="0"/>
        <v>18</v>
      </c>
      <c r="T5" s="67">
        <f t="shared" si="0"/>
        <v>19</v>
      </c>
      <c r="U5" s="67">
        <f t="shared" si="0"/>
        <v>20</v>
      </c>
      <c r="V5" s="67">
        <f t="shared" si="0"/>
        <v>21</v>
      </c>
      <c r="W5" s="67">
        <f t="shared" si="0"/>
        <v>22</v>
      </c>
      <c r="X5" s="67">
        <f t="shared" si="0"/>
        <v>23</v>
      </c>
      <c r="Y5" s="67">
        <f t="shared" si="0"/>
        <v>24</v>
      </c>
      <c r="Z5" s="67">
        <f t="shared" si="0"/>
        <v>25</v>
      </c>
      <c r="AA5" s="67">
        <f t="shared" si="0"/>
        <v>26</v>
      </c>
      <c r="AB5" s="67">
        <f t="shared" si="0"/>
        <v>27</v>
      </c>
      <c r="AC5" s="67">
        <f t="shared" si="0"/>
        <v>28</v>
      </c>
      <c r="AD5" s="67">
        <f t="shared" si="0"/>
        <v>29</v>
      </c>
      <c r="AE5" s="67">
        <f t="shared" si="0"/>
        <v>30</v>
      </c>
      <c r="AF5" s="68">
        <v>31</v>
      </c>
      <c r="AG5" s="61"/>
    </row>
    <row r="6" spans="1:33" ht="28.9">
      <c r="A6" s="45"/>
      <c r="B6" s="92"/>
      <c r="C6" s="32"/>
      <c r="D6" s="32"/>
      <c r="E6" s="32"/>
      <c r="F6" s="32"/>
      <c r="G6" s="32"/>
      <c r="H6" s="32"/>
      <c r="I6" s="32"/>
      <c r="J6" s="32"/>
      <c r="K6" s="32"/>
      <c r="L6" s="32"/>
      <c r="M6" s="70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2"/>
      <c r="AG6" s="61"/>
    </row>
    <row r="7" spans="1:33" ht="28.9">
      <c r="A7" s="46" t="s">
        <v>30</v>
      </c>
      <c r="B7" s="73">
        <f>RANDBETWEEN(10,15)</f>
        <v>10</v>
      </c>
      <c r="C7" s="73">
        <f>RANDBETWEEN(10,15)</f>
        <v>10</v>
      </c>
      <c r="D7" s="73">
        <f t="shared" ref="D7:AF7" si="1">RANDBETWEEN(10,15)</f>
        <v>13</v>
      </c>
      <c r="E7" s="73">
        <f t="shared" si="1"/>
        <v>14</v>
      </c>
      <c r="F7" s="73">
        <f t="shared" si="1"/>
        <v>10</v>
      </c>
      <c r="G7" s="73">
        <f t="shared" si="1"/>
        <v>10</v>
      </c>
      <c r="H7" s="73">
        <f t="shared" si="1"/>
        <v>11</v>
      </c>
      <c r="I7" s="73">
        <f t="shared" si="1"/>
        <v>13</v>
      </c>
      <c r="J7" s="73">
        <f t="shared" si="1"/>
        <v>13</v>
      </c>
      <c r="K7" s="73">
        <f t="shared" si="1"/>
        <v>14</v>
      </c>
      <c r="L7" s="73">
        <f t="shared" si="1"/>
        <v>15</v>
      </c>
      <c r="M7" s="74">
        <f t="shared" si="1"/>
        <v>12</v>
      </c>
      <c r="N7" s="73">
        <f t="shared" si="1"/>
        <v>12</v>
      </c>
      <c r="O7" s="73">
        <f t="shared" si="1"/>
        <v>13</v>
      </c>
      <c r="P7" s="73">
        <f t="shared" si="1"/>
        <v>12</v>
      </c>
      <c r="Q7" s="73">
        <f t="shared" si="1"/>
        <v>11</v>
      </c>
      <c r="R7" s="73">
        <f t="shared" si="1"/>
        <v>13</v>
      </c>
      <c r="S7" s="73">
        <f t="shared" si="1"/>
        <v>10</v>
      </c>
      <c r="T7" s="73">
        <f t="shared" si="1"/>
        <v>15</v>
      </c>
      <c r="U7" s="73">
        <f t="shared" si="1"/>
        <v>15</v>
      </c>
      <c r="V7" s="73">
        <f t="shared" si="1"/>
        <v>14</v>
      </c>
      <c r="W7" s="73">
        <f t="shared" si="1"/>
        <v>10</v>
      </c>
      <c r="X7" s="73">
        <f t="shared" si="1"/>
        <v>15</v>
      </c>
      <c r="Y7" s="73">
        <f t="shared" si="1"/>
        <v>14</v>
      </c>
      <c r="Z7" s="73">
        <f t="shared" si="1"/>
        <v>10</v>
      </c>
      <c r="AA7" s="73">
        <f t="shared" si="1"/>
        <v>11</v>
      </c>
      <c r="AB7" s="73">
        <f t="shared" si="1"/>
        <v>11</v>
      </c>
      <c r="AC7" s="73">
        <f t="shared" si="1"/>
        <v>10</v>
      </c>
      <c r="AD7" s="73">
        <f t="shared" si="1"/>
        <v>15</v>
      </c>
      <c r="AE7" s="73">
        <f t="shared" si="1"/>
        <v>13</v>
      </c>
      <c r="AF7" s="75">
        <f t="shared" si="1"/>
        <v>10</v>
      </c>
      <c r="AG7" s="61"/>
    </row>
    <row r="8" spans="1:33" ht="28.9">
      <c r="A8" s="46" t="s">
        <v>31</v>
      </c>
      <c r="B8" s="76">
        <f>RANDBETWEEN(20,25)/100</f>
        <v>0.24</v>
      </c>
      <c r="C8" s="76">
        <f>RANDBETWEEN(20,25)/100</f>
        <v>0.25</v>
      </c>
      <c r="D8" s="76">
        <f t="shared" ref="D8:AF8" si="2">RANDBETWEEN(20,25)/100</f>
        <v>0.25</v>
      </c>
      <c r="E8" s="76">
        <f t="shared" si="2"/>
        <v>0.23</v>
      </c>
      <c r="F8" s="76">
        <f t="shared" si="2"/>
        <v>0.22</v>
      </c>
      <c r="G8" s="76">
        <f t="shared" si="2"/>
        <v>0.23</v>
      </c>
      <c r="H8" s="76">
        <f t="shared" si="2"/>
        <v>0.2</v>
      </c>
      <c r="I8" s="76">
        <f t="shared" si="2"/>
        <v>0.23</v>
      </c>
      <c r="J8" s="76">
        <f t="shared" si="2"/>
        <v>0.2</v>
      </c>
      <c r="K8" s="76">
        <f t="shared" si="2"/>
        <v>0.21</v>
      </c>
      <c r="L8" s="76">
        <f t="shared" si="2"/>
        <v>0.2</v>
      </c>
      <c r="M8" s="77">
        <f t="shared" si="2"/>
        <v>0.2</v>
      </c>
      <c r="N8" s="76">
        <f t="shared" si="2"/>
        <v>0.22</v>
      </c>
      <c r="O8" s="76">
        <f t="shared" si="2"/>
        <v>0.2</v>
      </c>
      <c r="P8" s="76">
        <f t="shared" si="2"/>
        <v>0.24</v>
      </c>
      <c r="Q8" s="76">
        <f t="shared" si="2"/>
        <v>0.22</v>
      </c>
      <c r="R8" s="76">
        <f t="shared" si="2"/>
        <v>0.22</v>
      </c>
      <c r="S8" s="76">
        <f t="shared" si="2"/>
        <v>0.23</v>
      </c>
      <c r="T8" s="76">
        <f t="shared" si="2"/>
        <v>0.23</v>
      </c>
      <c r="U8" s="76">
        <f t="shared" si="2"/>
        <v>0.25</v>
      </c>
      <c r="V8" s="76">
        <f t="shared" si="2"/>
        <v>0.24</v>
      </c>
      <c r="W8" s="76">
        <f t="shared" si="2"/>
        <v>0.2</v>
      </c>
      <c r="X8" s="76">
        <f t="shared" si="2"/>
        <v>0.2</v>
      </c>
      <c r="Y8" s="76">
        <f t="shared" si="2"/>
        <v>0.23</v>
      </c>
      <c r="Z8" s="76">
        <f t="shared" si="2"/>
        <v>0.25</v>
      </c>
      <c r="AA8" s="76">
        <f t="shared" si="2"/>
        <v>0.23</v>
      </c>
      <c r="AB8" s="76">
        <f t="shared" si="2"/>
        <v>0.25</v>
      </c>
      <c r="AC8" s="76">
        <f t="shared" si="2"/>
        <v>0.22</v>
      </c>
      <c r="AD8" s="76">
        <f t="shared" si="2"/>
        <v>0.24</v>
      </c>
      <c r="AE8" s="76">
        <f t="shared" si="2"/>
        <v>0.21</v>
      </c>
      <c r="AF8" s="78">
        <f t="shared" si="2"/>
        <v>0.25</v>
      </c>
      <c r="AG8" s="61"/>
    </row>
    <row r="9" spans="1:33" ht="29.45" thickBot="1">
      <c r="A9" s="47" t="s">
        <v>32</v>
      </c>
      <c r="B9" s="79">
        <f>RANDBETWEEN(2300,2600)</f>
        <v>2556</v>
      </c>
      <c r="C9" s="79">
        <f>RANDBETWEEN(2300,2600)</f>
        <v>2526</v>
      </c>
      <c r="D9" s="79">
        <f t="shared" ref="D9:AF9" si="3">RANDBETWEEN(2300,2600)</f>
        <v>2492</v>
      </c>
      <c r="E9" s="79">
        <f t="shared" si="3"/>
        <v>2414</v>
      </c>
      <c r="F9" s="79">
        <f t="shared" si="3"/>
        <v>2415</v>
      </c>
      <c r="G9" s="79">
        <f t="shared" si="3"/>
        <v>2324</v>
      </c>
      <c r="H9" s="79">
        <f t="shared" si="3"/>
        <v>2407</v>
      </c>
      <c r="I9" s="79">
        <f t="shared" si="3"/>
        <v>2453</v>
      </c>
      <c r="J9" s="79">
        <f t="shared" si="3"/>
        <v>2348</v>
      </c>
      <c r="K9" s="79">
        <f t="shared" si="3"/>
        <v>2565</v>
      </c>
      <c r="L9" s="79">
        <f t="shared" si="3"/>
        <v>2388</v>
      </c>
      <c r="M9" s="80">
        <f t="shared" si="3"/>
        <v>2324</v>
      </c>
      <c r="N9" s="79">
        <f t="shared" si="3"/>
        <v>2359</v>
      </c>
      <c r="O9" s="79">
        <f t="shared" si="3"/>
        <v>2385</v>
      </c>
      <c r="P9" s="79">
        <f t="shared" si="3"/>
        <v>2432</v>
      </c>
      <c r="Q9" s="79">
        <f t="shared" si="3"/>
        <v>2564</v>
      </c>
      <c r="R9" s="79">
        <f t="shared" si="3"/>
        <v>2578</v>
      </c>
      <c r="S9" s="79">
        <f t="shared" si="3"/>
        <v>2379</v>
      </c>
      <c r="T9" s="79">
        <f t="shared" si="3"/>
        <v>2355</v>
      </c>
      <c r="U9" s="79">
        <f t="shared" si="3"/>
        <v>2493</v>
      </c>
      <c r="V9" s="79">
        <f t="shared" si="3"/>
        <v>2450</v>
      </c>
      <c r="W9" s="79">
        <f t="shared" si="3"/>
        <v>2527</v>
      </c>
      <c r="X9" s="79">
        <f t="shared" si="3"/>
        <v>2412</v>
      </c>
      <c r="Y9" s="79">
        <f t="shared" si="3"/>
        <v>2490</v>
      </c>
      <c r="Z9" s="79">
        <f t="shared" si="3"/>
        <v>2564</v>
      </c>
      <c r="AA9" s="79">
        <f t="shared" si="3"/>
        <v>2307</v>
      </c>
      <c r="AB9" s="79">
        <f t="shared" si="3"/>
        <v>2438</v>
      </c>
      <c r="AC9" s="79">
        <f t="shared" si="3"/>
        <v>2311</v>
      </c>
      <c r="AD9" s="79">
        <f t="shared" si="3"/>
        <v>2444</v>
      </c>
      <c r="AE9" s="79">
        <f t="shared" si="3"/>
        <v>2547</v>
      </c>
      <c r="AF9" s="81">
        <f t="shared" si="3"/>
        <v>2493</v>
      </c>
      <c r="AG9" s="61"/>
    </row>
    <row r="10" spans="1:33" ht="29.45" thickTop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130" t="s">
        <v>33</v>
      </c>
      <c r="N10" s="131"/>
      <c r="O10" s="131"/>
      <c r="P10" s="131"/>
      <c r="Q10" s="131"/>
      <c r="R10" s="131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5"/>
      <c r="AG10" s="61"/>
    </row>
    <row r="11" spans="1:33" ht="28.9">
      <c r="A11" s="46" t="s">
        <v>34</v>
      </c>
      <c r="B11" s="34">
        <f>RANDBETWEEN(10,15)</f>
        <v>11</v>
      </c>
      <c r="C11" s="34">
        <f t="shared" ref="C11:AF11" si="4">RANDBETWEEN(10,15)</f>
        <v>15</v>
      </c>
      <c r="D11" s="34">
        <f t="shared" si="4"/>
        <v>12</v>
      </c>
      <c r="E11" s="34">
        <f t="shared" si="4"/>
        <v>12</v>
      </c>
      <c r="F11" s="34">
        <f t="shared" si="4"/>
        <v>15</v>
      </c>
      <c r="G11" s="34">
        <f t="shared" si="4"/>
        <v>14</v>
      </c>
      <c r="H11" s="34">
        <f t="shared" si="4"/>
        <v>13</v>
      </c>
      <c r="I11" s="34">
        <f t="shared" si="4"/>
        <v>13</v>
      </c>
      <c r="J11" s="34">
        <f t="shared" si="4"/>
        <v>14</v>
      </c>
      <c r="K11" s="34">
        <f t="shared" si="4"/>
        <v>15</v>
      </c>
      <c r="L11" s="34">
        <f t="shared" si="4"/>
        <v>12</v>
      </c>
      <c r="M11" s="83">
        <f>RANDBETWEEN(10,15)</f>
        <v>12</v>
      </c>
      <c r="N11" s="84">
        <f t="shared" si="4"/>
        <v>15</v>
      </c>
      <c r="O11" s="84">
        <f t="shared" si="4"/>
        <v>14</v>
      </c>
      <c r="P11" s="84">
        <f t="shared" si="4"/>
        <v>12</v>
      </c>
      <c r="Q11" s="84">
        <f t="shared" si="4"/>
        <v>15</v>
      </c>
      <c r="R11" s="84">
        <f t="shared" si="4"/>
        <v>11</v>
      </c>
      <c r="S11" s="84">
        <f t="shared" si="4"/>
        <v>11</v>
      </c>
      <c r="T11" s="84">
        <f t="shared" si="4"/>
        <v>11</v>
      </c>
      <c r="U11" s="84">
        <f t="shared" si="4"/>
        <v>12</v>
      </c>
      <c r="V11" s="84">
        <f t="shared" si="4"/>
        <v>15</v>
      </c>
      <c r="W11" s="84">
        <f t="shared" si="4"/>
        <v>11</v>
      </c>
      <c r="X11" s="84">
        <f t="shared" si="4"/>
        <v>10</v>
      </c>
      <c r="Y11" s="84">
        <f t="shared" si="4"/>
        <v>13</v>
      </c>
      <c r="Z11" s="84">
        <f t="shared" si="4"/>
        <v>11</v>
      </c>
      <c r="AA11" s="84">
        <f t="shared" si="4"/>
        <v>15</v>
      </c>
      <c r="AB11" s="84">
        <f t="shared" si="4"/>
        <v>14</v>
      </c>
      <c r="AC11" s="84">
        <f t="shared" si="4"/>
        <v>13</v>
      </c>
      <c r="AD11" s="84">
        <f t="shared" si="4"/>
        <v>13</v>
      </c>
      <c r="AE11" s="84">
        <f t="shared" si="4"/>
        <v>12</v>
      </c>
      <c r="AF11" s="85">
        <f t="shared" si="4"/>
        <v>10</v>
      </c>
      <c r="AG11" s="61"/>
    </row>
    <row r="12" spans="1:33" ht="28.9">
      <c r="A12" s="46" t="s">
        <v>35</v>
      </c>
      <c r="B12" s="35">
        <f>RANDBETWEEN(20,25)/100</f>
        <v>0.21</v>
      </c>
      <c r="C12" s="35">
        <f t="shared" ref="C12:AF12" si="5">RANDBETWEEN(20,25)/100</f>
        <v>0.25</v>
      </c>
      <c r="D12" s="35">
        <f t="shared" si="5"/>
        <v>0.2</v>
      </c>
      <c r="E12" s="35">
        <f t="shared" si="5"/>
        <v>0.22</v>
      </c>
      <c r="F12" s="35">
        <f t="shared" si="5"/>
        <v>0.22</v>
      </c>
      <c r="G12" s="35">
        <f t="shared" si="5"/>
        <v>0.2</v>
      </c>
      <c r="H12" s="35">
        <f t="shared" si="5"/>
        <v>0.22</v>
      </c>
      <c r="I12" s="35">
        <f t="shared" si="5"/>
        <v>0.21</v>
      </c>
      <c r="J12" s="35">
        <f t="shared" si="5"/>
        <v>0.21</v>
      </c>
      <c r="K12" s="35">
        <f t="shared" si="5"/>
        <v>0.2</v>
      </c>
      <c r="L12" s="35">
        <f t="shared" si="5"/>
        <v>0.21</v>
      </c>
      <c r="M12" s="86">
        <f t="shared" si="5"/>
        <v>0.23</v>
      </c>
      <c r="N12" s="87">
        <f t="shared" si="5"/>
        <v>0.24</v>
      </c>
      <c r="O12" s="87">
        <f t="shared" si="5"/>
        <v>0.21</v>
      </c>
      <c r="P12" s="87">
        <f t="shared" si="5"/>
        <v>0.23</v>
      </c>
      <c r="Q12" s="87">
        <f t="shared" si="5"/>
        <v>0.25</v>
      </c>
      <c r="R12" s="87">
        <f t="shared" si="5"/>
        <v>0.21</v>
      </c>
      <c r="S12" s="87">
        <f t="shared" si="5"/>
        <v>0.25</v>
      </c>
      <c r="T12" s="87">
        <f t="shared" si="5"/>
        <v>0.21</v>
      </c>
      <c r="U12" s="87">
        <f t="shared" si="5"/>
        <v>0.23</v>
      </c>
      <c r="V12" s="87">
        <f t="shared" si="5"/>
        <v>0.24</v>
      </c>
      <c r="W12" s="87">
        <f t="shared" si="5"/>
        <v>0.22</v>
      </c>
      <c r="X12" s="87">
        <f t="shared" si="5"/>
        <v>0.22</v>
      </c>
      <c r="Y12" s="87">
        <f t="shared" si="5"/>
        <v>0.21</v>
      </c>
      <c r="Z12" s="87">
        <f t="shared" si="5"/>
        <v>0.2</v>
      </c>
      <c r="AA12" s="87">
        <f t="shared" si="5"/>
        <v>0.21</v>
      </c>
      <c r="AB12" s="87">
        <f t="shared" si="5"/>
        <v>0.21</v>
      </c>
      <c r="AC12" s="87">
        <f t="shared" si="5"/>
        <v>0.21</v>
      </c>
      <c r="AD12" s="87">
        <f t="shared" si="5"/>
        <v>0.24</v>
      </c>
      <c r="AE12" s="87">
        <f t="shared" si="5"/>
        <v>0.25</v>
      </c>
      <c r="AF12" s="88">
        <f t="shared" si="5"/>
        <v>0.23</v>
      </c>
      <c r="AG12" s="61"/>
    </row>
    <row r="13" spans="1:33" ht="29.45" thickBot="1">
      <c r="A13" s="48" t="s">
        <v>36</v>
      </c>
      <c r="B13" s="36">
        <f>RANDBETWEEN(2300,2600)</f>
        <v>2462</v>
      </c>
      <c r="C13" s="36">
        <f t="shared" ref="C13:AF13" si="6">RANDBETWEEN(2300,2600)</f>
        <v>2381</v>
      </c>
      <c r="D13" s="36">
        <f t="shared" si="6"/>
        <v>2368</v>
      </c>
      <c r="E13" s="36">
        <f t="shared" si="6"/>
        <v>2485</v>
      </c>
      <c r="F13" s="36">
        <f t="shared" si="6"/>
        <v>2433</v>
      </c>
      <c r="G13" s="36">
        <f t="shared" si="6"/>
        <v>2541</v>
      </c>
      <c r="H13" s="36">
        <f t="shared" si="6"/>
        <v>2549</v>
      </c>
      <c r="I13" s="36">
        <f t="shared" si="6"/>
        <v>2357</v>
      </c>
      <c r="J13" s="36">
        <f t="shared" si="6"/>
        <v>2594</v>
      </c>
      <c r="K13" s="36">
        <f t="shared" si="6"/>
        <v>2398</v>
      </c>
      <c r="L13" s="36">
        <f t="shared" si="6"/>
        <v>2448</v>
      </c>
      <c r="M13" s="89">
        <f t="shared" si="6"/>
        <v>2378</v>
      </c>
      <c r="N13" s="90">
        <f t="shared" si="6"/>
        <v>2435</v>
      </c>
      <c r="O13" s="90">
        <f t="shared" si="6"/>
        <v>2338</v>
      </c>
      <c r="P13" s="90">
        <f t="shared" si="6"/>
        <v>2322</v>
      </c>
      <c r="Q13" s="90">
        <f t="shared" si="6"/>
        <v>2408</v>
      </c>
      <c r="R13" s="90">
        <f t="shared" si="6"/>
        <v>2551</v>
      </c>
      <c r="S13" s="90">
        <f t="shared" si="6"/>
        <v>2581</v>
      </c>
      <c r="T13" s="90">
        <f t="shared" si="6"/>
        <v>2499</v>
      </c>
      <c r="U13" s="90">
        <f t="shared" si="6"/>
        <v>2435</v>
      </c>
      <c r="V13" s="90">
        <f t="shared" si="6"/>
        <v>2556</v>
      </c>
      <c r="W13" s="90">
        <f t="shared" si="6"/>
        <v>2355</v>
      </c>
      <c r="X13" s="90">
        <f t="shared" si="6"/>
        <v>2541</v>
      </c>
      <c r="Y13" s="90">
        <f t="shared" si="6"/>
        <v>2478</v>
      </c>
      <c r="Z13" s="90">
        <f t="shared" si="6"/>
        <v>2493</v>
      </c>
      <c r="AA13" s="90">
        <f t="shared" si="6"/>
        <v>2489</v>
      </c>
      <c r="AB13" s="90">
        <f t="shared" si="6"/>
        <v>2428</v>
      </c>
      <c r="AC13" s="90">
        <f t="shared" si="6"/>
        <v>2354</v>
      </c>
      <c r="AD13" s="90">
        <f t="shared" si="6"/>
        <v>2577</v>
      </c>
      <c r="AE13" s="90">
        <f t="shared" si="6"/>
        <v>2304</v>
      </c>
      <c r="AF13" s="91">
        <f t="shared" si="6"/>
        <v>2584</v>
      </c>
      <c r="AG13" s="61"/>
    </row>
    <row r="14" spans="1:33" ht="30" thickTop="1" thickBot="1">
      <c r="A14" s="49" t="s">
        <v>37</v>
      </c>
      <c r="B14" s="37">
        <f>B11-B7</f>
        <v>1</v>
      </c>
      <c r="C14" s="37">
        <f t="shared" ref="C14:AF14" si="7">C11-C7</f>
        <v>5</v>
      </c>
      <c r="D14" s="37">
        <f t="shared" si="7"/>
        <v>-1</v>
      </c>
      <c r="E14" s="37">
        <f t="shared" si="7"/>
        <v>-2</v>
      </c>
      <c r="F14" s="37">
        <f t="shared" si="7"/>
        <v>5</v>
      </c>
      <c r="G14" s="37">
        <f t="shared" si="7"/>
        <v>4</v>
      </c>
      <c r="H14" s="37">
        <f t="shared" si="7"/>
        <v>2</v>
      </c>
      <c r="I14" s="37">
        <f t="shared" si="7"/>
        <v>0</v>
      </c>
      <c r="J14" s="37">
        <f t="shared" si="7"/>
        <v>1</v>
      </c>
      <c r="K14" s="37">
        <f t="shared" si="7"/>
        <v>1</v>
      </c>
      <c r="L14" s="37">
        <f t="shared" si="7"/>
        <v>-3</v>
      </c>
      <c r="M14" s="63">
        <f t="shared" si="7"/>
        <v>0</v>
      </c>
      <c r="N14" s="37">
        <f t="shared" si="7"/>
        <v>3</v>
      </c>
      <c r="O14" s="37">
        <f t="shared" si="7"/>
        <v>1</v>
      </c>
      <c r="P14" s="37">
        <f t="shared" si="7"/>
        <v>0</v>
      </c>
      <c r="Q14" s="37">
        <f t="shared" si="7"/>
        <v>4</v>
      </c>
      <c r="R14" s="37">
        <f t="shared" si="7"/>
        <v>-2</v>
      </c>
      <c r="S14" s="37">
        <f t="shared" si="7"/>
        <v>1</v>
      </c>
      <c r="T14" s="37">
        <f t="shared" si="7"/>
        <v>-4</v>
      </c>
      <c r="U14" s="37">
        <f t="shared" si="7"/>
        <v>-3</v>
      </c>
      <c r="V14" s="37">
        <f t="shared" si="7"/>
        <v>1</v>
      </c>
      <c r="W14" s="37">
        <f t="shared" si="7"/>
        <v>1</v>
      </c>
      <c r="X14" s="37">
        <f t="shared" si="7"/>
        <v>-5</v>
      </c>
      <c r="Y14" s="37">
        <f t="shared" si="7"/>
        <v>-1</v>
      </c>
      <c r="Z14" s="37">
        <f t="shared" si="7"/>
        <v>1</v>
      </c>
      <c r="AA14" s="37">
        <f t="shared" si="7"/>
        <v>4</v>
      </c>
      <c r="AB14" s="37">
        <f t="shared" si="7"/>
        <v>3</v>
      </c>
      <c r="AC14" s="37">
        <f t="shared" si="7"/>
        <v>3</v>
      </c>
      <c r="AD14" s="37">
        <f t="shared" si="7"/>
        <v>-2</v>
      </c>
      <c r="AE14" s="37">
        <f t="shared" si="7"/>
        <v>-1</v>
      </c>
      <c r="AF14" s="56">
        <f t="shared" si="7"/>
        <v>0</v>
      </c>
      <c r="AG14" s="61"/>
    </row>
    <row r="15" spans="1:33" ht="30" thickTop="1" thickBot="1">
      <c r="A15" s="50" t="s">
        <v>38</v>
      </c>
      <c r="B15" s="58">
        <f>B12-B8</f>
        <v>-0.03</v>
      </c>
      <c r="C15" s="58">
        <f t="shared" ref="C15:AF15" si="8">C12-C8</f>
        <v>0</v>
      </c>
      <c r="D15" s="58">
        <f t="shared" si="8"/>
        <v>-4.9999999999999989E-2</v>
      </c>
      <c r="E15" s="58">
        <f t="shared" si="8"/>
        <v>-1.0000000000000009E-2</v>
      </c>
      <c r="F15" s="58">
        <f t="shared" si="8"/>
        <v>0</v>
      </c>
      <c r="G15" s="58">
        <f t="shared" si="8"/>
        <v>-0.03</v>
      </c>
      <c r="H15" s="58">
        <f t="shared" si="8"/>
        <v>1.999999999999999E-2</v>
      </c>
      <c r="I15" s="58">
        <f t="shared" si="8"/>
        <v>-2.0000000000000018E-2</v>
      </c>
      <c r="J15" s="58">
        <f t="shared" si="8"/>
        <v>9.9999999999999811E-3</v>
      </c>
      <c r="K15" s="58">
        <f t="shared" si="8"/>
        <v>-9.9999999999999811E-3</v>
      </c>
      <c r="L15" s="58">
        <f t="shared" si="8"/>
        <v>9.9999999999999811E-3</v>
      </c>
      <c r="M15" s="64">
        <f t="shared" si="8"/>
        <v>0.03</v>
      </c>
      <c r="N15" s="58">
        <f t="shared" si="8"/>
        <v>1.999999999999999E-2</v>
      </c>
      <c r="O15" s="58">
        <f t="shared" si="8"/>
        <v>9.9999999999999811E-3</v>
      </c>
      <c r="P15" s="58">
        <f t="shared" si="8"/>
        <v>-9.9999999999999811E-3</v>
      </c>
      <c r="Q15" s="58">
        <f t="shared" si="8"/>
        <v>0.03</v>
      </c>
      <c r="R15" s="58">
        <f t="shared" si="8"/>
        <v>-1.0000000000000009E-2</v>
      </c>
      <c r="S15" s="58">
        <f t="shared" si="8"/>
        <v>1.999999999999999E-2</v>
      </c>
      <c r="T15" s="58">
        <f t="shared" si="8"/>
        <v>-2.0000000000000018E-2</v>
      </c>
      <c r="U15" s="58">
        <f t="shared" si="8"/>
        <v>-1.999999999999999E-2</v>
      </c>
      <c r="V15" s="58">
        <f t="shared" si="8"/>
        <v>0</v>
      </c>
      <c r="W15" s="58">
        <f t="shared" si="8"/>
        <v>1.999999999999999E-2</v>
      </c>
      <c r="X15" s="58">
        <f t="shared" si="8"/>
        <v>1.999999999999999E-2</v>
      </c>
      <c r="Y15" s="58">
        <f t="shared" si="8"/>
        <v>-2.0000000000000018E-2</v>
      </c>
      <c r="Z15" s="58">
        <f t="shared" si="8"/>
        <v>-4.9999999999999989E-2</v>
      </c>
      <c r="AA15" s="58">
        <f t="shared" si="8"/>
        <v>-2.0000000000000018E-2</v>
      </c>
      <c r="AB15" s="58">
        <f t="shared" si="8"/>
        <v>-4.0000000000000008E-2</v>
      </c>
      <c r="AC15" s="58">
        <f t="shared" si="8"/>
        <v>-1.0000000000000009E-2</v>
      </c>
      <c r="AD15" s="58">
        <f t="shared" si="8"/>
        <v>0</v>
      </c>
      <c r="AE15" s="58">
        <f t="shared" si="8"/>
        <v>4.0000000000000008E-2</v>
      </c>
      <c r="AF15" s="59">
        <f t="shared" si="8"/>
        <v>-1.999999999999999E-2</v>
      </c>
      <c r="AG15" s="61"/>
    </row>
    <row r="16" spans="1:33" ht="30" thickTop="1" thickBot="1">
      <c r="A16" s="51" t="s">
        <v>39</v>
      </c>
      <c r="B16" s="38">
        <f>B13-B9</f>
        <v>-94</v>
      </c>
      <c r="C16" s="38">
        <f t="shared" ref="C16:AF16" si="9">C13-C9</f>
        <v>-145</v>
      </c>
      <c r="D16" s="38">
        <f t="shared" si="9"/>
        <v>-124</v>
      </c>
      <c r="E16" s="38">
        <f t="shared" si="9"/>
        <v>71</v>
      </c>
      <c r="F16" s="38">
        <f t="shared" si="9"/>
        <v>18</v>
      </c>
      <c r="G16" s="38">
        <f t="shared" si="9"/>
        <v>217</v>
      </c>
      <c r="H16" s="38">
        <f t="shared" si="9"/>
        <v>142</v>
      </c>
      <c r="I16" s="38">
        <f t="shared" si="9"/>
        <v>-96</v>
      </c>
      <c r="J16" s="38">
        <f t="shared" si="9"/>
        <v>246</v>
      </c>
      <c r="K16" s="38">
        <f t="shared" si="9"/>
        <v>-167</v>
      </c>
      <c r="L16" s="38">
        <f t="shared" si="9"/>
        <v>60</v>
      </c>
      <c r="M16" s="65">
        <f t="shared" si="9"/>
        <v>54</v>
      </c>
      <c r="N16" s="38">
        <f t="shared" si="9"/>
        <v>76</v>
      </c>
      <c r="O16" s="38">
        <f t="shared" si="9"/>
        <v>-47</v>
      </c>
      <c r="P16" s="38">
        <f t="shared" si="9"/>
        <v>-110</v>
      </c>
      <c r="Q16" s="38">
        <f t="shared" si="9"/>
        <v>-156</v>
      </c>
      <c r="R16" s="38">
        <f t="shared" si="9"/>
        <v>-27</v>
      </c>
      <c r="S16" s="38">
        <f t="shared" si="9"/>
        <v>202</v>
      </c>
      <c r="T16" s="38">
        <f t="shared" si="9"/>
        <v>144</v>
      </c>
      <c r="U16" s="38">
        <f t="shared" si="9"/>
        <v>-58</v>
      </c>
      <c r="V16" s="38">
        <f t="shared" si="9"/>
        <v>106</v>
      </c>
      <c r="W16" s="38">
        <f t="shared" si="9"/>
        <v>-172</v>
      </c>
      <c r="X16" s="38">
        <f t="shared" si="9"/>
        <v>129</v>
      </c>
      <c r="Y16" s="38">
        <f t="shared" si="9"/>
        <v>-12</v>
      </c>
      <c r="Z16" s="38">
        <f t="shared" si="9"/>
        <v>-71</v>
      </c>
      <c r="AA16" s="38">
        <f t="shared" si="9"/>
        <v>182</v>
      </c>
      <c r="AB16" s="38">
        <f t="shared" si="9"/>
        <v>-10</v>
      </c>
      <c r="AC16" s="38">
        <f t="shared" si="9"/>
        <v>43</v>
      </c>
      <c r="AD16" s="38">
        <f t="shared" si="9"/>
        <v>133</v>
      </c>
      <c r="AE16" s="38">
        <f t="shared" si="9"/>
        <v>-243</v>
      </c>
      <c r="AF16" s="57">
        <f t="shared" si="9"/>
        <v>91</v>
      </c>
      <c r="AG16" s="62"/>
    </row>
    <row r="17" ht="15" thickTop="1"/>
  </sheetData>
  <mergeCells count="7">
    <mergeCell ref="Y4:Z4"/>
    <mergeCell ref="M4:Q4"/>
    <mergeCell ref="M10:R10"/>
    <mergeCell ref="A3:H3"/>
    <mergeCell ref="B4:C4"/>
    <mergeCell ref="K4:L4"/>
    <mergeCell ref="R4:S4"/>
  </mergeCells>
  <conditionalFormatting sqref="B14:AF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AF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F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35C0-4B55-4627-87B2-747F0FA107FD}">
  <dimension ref="A1:I236"/>
  <sheetViews>
    <sheetView zoomScale="70" zoomScaleNormal="70" workbookViewId="0">
      <selection activeCell="M4" sqref="M4"/>
    </sheetView>
  </sheetViews>
  <sheetFormatPr defaultColWidth="11.42578125" defaultRowHeight="14.45"/>
  <cols>
    <col min="6" max="6" width="14.140625" customWidth="1"/>
    <col min="7" max="7" width="9.140625" customWidth="1"/>
    <col min="9" max="9" width="11.42578125" style="108"/>
  </cols>
  <sheetData>
    <row r="1" spans="1:9">
      <c r="A1" t="s">
        <v>40</v>
      </c>
      <c r="B1" t="s">
        <v>41</v>
      </c>
      <c r="C1" t="s">
        <v>42</v>
      </c>
      <c r="D1" t="s">
        <v>3</v>
      </c>
      <c r="E1" t="s">
        <v>41</v>
      </c>
      <c r="F1" t="s">
        <v>43</v>
      </c>
      <c r="G1" s="96" t="s">
        <v>44</v>
      </c>
      <c r="H1" t="s">
        <v>45</v>
      </c>
      <c r="I1" s="108" t="s">
        <v>46</v>
      </c>
    </row>
    <row r="2" spans="1:9">
      <c r="A2" t="s">
        <v>47</v>
      </c>
      <c r="B2" s="95">
        <v>44197</v>
      </c>
      <c r="C2" s="95" t="str">
        <f>TEXT(B2, "MMMM")</f>
        <v>Jänner</v>
      </c>
      <c r="D2" s="100" t="str">
        <f>CONCATENATE("KW",WEEKNUM(B2,21))</f>
        <v>KW53</v>
      </c>
      <c r="E2" s="100" t="str">
        <f>TEXT(DAY(B2),"TT")</f>
        <v>01</v>
      </c>
      <c r="F2" t="s">
        <v>48</v>
      </c>
      <c r="G2" s="96">
        <v>8</v>
      </c>
      <c r="H2" t="s">
        <v>49</v>
      </c>
      <c r="I2" s="108" t="s">
        <v>50</v>
      </c>
    </row>
    <row r="3" spans="1:9">
      <c r="A3" t="s">
        <v>47</v>
      </c>
      <c r="B3" s="95">
        <v>44198</v>
      </c>
      <c r="C3" s="95" t="str">
        <f t="shared" ref="C3:C66" si="0">TEXT(B3, "MMMM")</f>
        <v>Jänner</v>
      </c>
      <c r="D3" s="100" t="str">
        <f t="shared" ref="D3:D66" si="1">CONCATENATE("KW",WEEKNUM(B3,21))</f>
        <v>KW53</v>
      </c>
      <c r="E3" s="100" t="str">
        <f t="shared" ref="E3:E66" si="2">TEXT(DAY(B3),"TT")</f>
        <v>02</v>
      </c>
      <c r="F3" t="s">
        <v>48</v>
      </c>
      <c r="G3">
        <v>8</v>
      </c>
      <c r="H3" t="s">
        <v>49</v>
      </c>
      <c r="I3" s="108" t="s">
        <v>50</v>
      </c>
    </row>
    <row r="4" spans="1:9">
      <c r="A4" t="s">
        <v>47</v>
      </c>
      <c r="B4" s="95">
        <v>44199</v>
      </c>
      <c r="C4" s="95" t="str">
        <f t="shared" si="0"/>
        <v>Jänner</v>
      </c>
      <c r="D4" s="100" t="str">
        <f t="shared" si="1"/>
        <v>KW53</v>
      </c>
      <c r="E4" s="100" t="str">
        <f t="shared" si="2"/>
        <v>03</v>
      </c>
      <c r="F4" t="s">
        <v>48</v>
      </c>
      <c r="G4">
        <v>8</v>
      </c>
      <c r="H4" t="s">
        <v>49</v>
      </c>
      <c r="I4" s="108" t="s">
        <v>50</v>
      </c>
    </row>
    <row r="5" spans="1:9">
      <c r="A5" t="s">
        <v>47</v>
      </c>
      <c r="B5" s="95">
        <v>44200</v>
      </c>
      <c r="C5" s="95" t="str">
        <f t="shared" si="0"/>
        <v>Jänner</v>
      </c>
      <c r="D5" s="100" t="str">
        <f t="shared" si="1"/>
        <v>KW1</v>
      </c>
      <c r="E5" s="100" t="str">
        <f t="shared" si="2"/>
        <v>04</v>
      </c>
      <c r="F5" t="s">
        <v>48</v>
      </c>
      <c r="G5">
        <v>8</v>
      </c>
      <c r="H5" t="s">
        <v>49</v>
      </c>
      <c r="I5" s="108" t="s">
        <v>50</v>
      </c>
    </row>
    <row r="6" spans="1:9">
      <c r="A6" t="s">
        <v>47</v>
      </c>
      <c r="B6" s="95">
        <v>44201</v>
      </c>
      <c r="C6" s="95" t="str">
        <f t="shared" si="0"/>
        <v>Jänner</v>
      </c>
      <c r="D6" s="100" t="str">
        <f t="shared" si="1"/>
        <v>KW1</v>
      </c>
      <c r="E6" s="100" t="str">
        <f t="shared" si="2"/>
        <v>05</v>
      </c>
      <c r="F6" t="s">
        <v>48</v>
      </c>
      <c r="G6">
        <v>8</v>
      </c>
      <c r="H6" t="s">
        <v>49</v>
      </c>
      <c r="I6" s="108" t="s">
        <v>50</v>
      </c>
    </row>
    <row r="7" spans="1:9">
      <c r="A7" t="s">
        <v>47</v>
      </c>
      <c r="B7" s="95">
        <v>44202</v>
      </c>
      <c r="C7" s="95" t="str">
        <f t="shared" si="0"/>
        <v>Jänner</v>
      </c>
      <c r="D7" s="100" t="str">
        <f t="shared" si="1"/>
        <v>KW1</v>
      </c>
      <c r="E7" s="100" t="str">
        <f t="shared" si="2"/>
        <v>06</v>
      </c>
      <c r="F7" t="s">
        <v>48</v>
      </c>
      <c r="G7">
        <v>8</v>
      </c>
      <c r="H7" t="s">
        <v>49</v>
      </c>
      <c r="I7" s="108" t="s">
        <v>50</v>
      </c>
    </row>
    <row r="8" spans="1:9">
      <c r="A8" t="s">
        <v>47</v>
      </c>
      <c r="B8" s="95">
        <v>44203</v>
      </c>
      <c r="C8" s="95" t="str">
        <f t="shared" si="0"/>
        <v>Jänner</v>
      </c>
      <c r="D8" s="100" t="str">
        <f t="shared" si="1"/>
        <v>KW1</v>
      </c>
      <c r="E8" s="100" t="str">
        <f t="shared" si="2"/>
        <v>07</v>
      </c>
      <c r="F8" t="s">
        <v>48</v>
      </c>
      <c r="G8">
        <v>8</v>
      </c>
      <c r="H8" t="s">
        <v>49</v>
      </c>
      <c r="I8" s="108" t="s">
        <v>50</v>
      </c>
    </row>
    <row r="9" spans="1:9">
      <c r="A9" t="s">
        <v>47</v>
      </c>
      <c r="B9" s="95">
        <v>44204</v>
      </c>
      <c r="C9" s="95" t="str">
        <f t="shared" si="0"/>
        <v>Jänner</v>
      </c>
      <c r="D9" s="100" t="str">
        <f t="shared" si="1"/>
        <v>KW1</v>
      </c>
      <c r="E9" s="100" t="str">
        <f t="shared" si="2"/>
        <v>08</v>
      </c>
      <c r="F9" t="s">
        <v>48</v>
      </c>
      <c r="G9">
        <v>8</v>
      </c>
      <c r="H9" t="s">
        <v>49</v>
      </c>
      <c r="I9" s="108" t="s">
        <v>50</v>
      </c>
    </row>
    <row r="10" spans="1:9">
      <c r="A10" t="s">
        <v>47</v>
      </c>
      <c r="B10" s="95">
        <v>44205</v>
      </c>
      <c r="C10" s="95" t="str">
        <f t="shared" si="0"/>
        <v>Jänner</v>
      </c>
      <c r="D10" s="100" t="str">
        <f t="shared" si="1"/>
        <v>KW1</v>
      </c>
      <c r="E10" s="100" t="str">
        <f t="shared" si="2"/>
        <v>09</v>
      </c>
      <c r="F10" t="s">
        <v>48</v>
      </c>
      <c r="G10">
        <v>8</v>
      </c>
      <c r="H10" t="s">
        <v>49</v>
      </c>
      <c r="I10" s="108" t="s">
        <v>50</v>
      </c>
    </row>
    <row r="11" spans="1:9">
      <c r="A11" t="s">
        <v>47</v>
      </c>
      <c r="B11" s="95">
        <v>44206</v>
      </c>
      <c r="C11" s="95" t="str">
        <f t="shared" si="0"/>
        <v>Jänner</v>
      </c>
      <c r="D11" s="100" t="str">
        <f t="shared" si="1"/>
        <v>KW1</v>
      </c>
      <c r="E11" s="100" t="str">
        <f t="shared" si="2"/>
        <v>10</v>
      </c>
      <c r="F11" t="s">
        <v>46</v>
      </c>
      <c r="G11">
        <v>8</v>
      </c>
      <c r="H11" t="s">
        <v>49</v>
      </c>
      <c r="I11" s="108" t="s">
        <v>51</v>
      </c>
    </row>
    <row r="12" spans="1:9">
      <c r="A12" t="s">
        <v>47</v>
      </c>
      <c r="B12" s="95">
        <v>44207</v>
      </c>
      <c r="C12" s="95" t="str">
        <f t="shared" si="0"/>
        <v>Jänner</v>
      </c>
      <c r="D12" s="100" t="str">
        <f t="shared" si="1"/>
        <v>KW2</v>
      </c>
      <c r="E12" s="100" t="str">
        <f t="shared" si="2"/>
        <v>11</v>
      </c>
      <c r="F12" t="s">
        <v>46</v>
      </c>
      <c r="G12">
        <v>8</v>
      </c>
      <c r="H12" t="s">
        <v>49</v>
      </c>
      <c r="I12" s="108" t="s">
        <v>51</v>
      </c>
    </row>
    <row r="13" spans="1:9">
      <c r="A13" t="s">
        <v>47</v>
      </c>
      <c r="B13" s="95">
        <v>44208</v>
      </c>
      <c r="C13" s="95" t="str">
        <f t="shared" si="0"/>
        <v>Jänner</v>
      </c>
      <c r="D13" s="100" t="str">
        <f t="shared" si="1"/>
        <v>KW2</v>
      </c>
      <c r="E13" s="100" t="str">
        <f t="shared" si="2"/>
        <v>12</v>
      </c>
      <c r="F13" t="s">
        <v>46</v>
      </c>
      <c r="G13">
        <v>8</v>
      </c>
      <c r="H13" t="s">
        <v>49</v>
      </c>
      <c r="I13" s="108" t="s">
        <v>51</v>
      </c>
    </row>
    <row r="14" spans="1:9">
      <c r="A14" t="s">
        <v>47</v>
      </c>
      <c r="B14" s="95">
        <v>44209</v>
      </c>
      <c r="C14" s="95" t="str">
        <f t="shared" si="0"/>
        <v>Jänner</v>
      </c>
      <c r="D14" s="100" t="str">
        <f t="shared" si="1"/>
        <v>KW2</v>
      </c>
      <c r="E14" s="100" t="str">
        <f t="shared" si="2"/>
        <v>13</v>
      </c>
      <c r="F14" t="s">
        <v>46</v>
      </c>
      <c r="G14">
        <v>8</v>
      </c>
      <c r="H14" t="s">
        <v>49</v>
      </c>
      <c r="I14" s="108" t="s">
        <v>51</v>
      </c>
    </row>
    <row r="15" spans="1:9">
      <c r="A15" t="s">
        <v>47</v>
      </c>
      <c r="B15" s="95">
        <v>44210</v>
      </c>
      <c r="C15" s="95" t="str">
        <f t="shared" si="0"/>
        <v>Jänner</v>
      </c>
      <c r="D15" s="100" t="str">
        <f t="shared" si="1"/>
        <v>KW2</v>
      </c>
      <c r="E15" s="100" t="str">
        <f t="shared" si="2"/>
        <v>14</v>
      </c>
      <c r="F15" t="s">
        <v>46</v>
      </c>
      <c r="G15">
        <v>8</v>
      </c>
      <c r="H15" t="s">
        <v>49</v>
      </c>
      <c r="I15" s="108" t="s">
        <v>51</v>
      </c>
    </row>
    <row r="16" spans="1:9">
      <c r="A16" t="s">
        <v>47</v>
      </c>
      <c r="B16" s="95">
        <v>44211</v>
      </c>
      <c r="C16" s="95" t="str">
        <f t="shared" si="0"/>
        <v>Jänner</v>
      </c>
      <c r="D16" s="100" t="str">
        <f t="shared" si="1"/>
        <v>KW2</v>
      </c>
      <c r="E16" s="100" t="str">
        <f t="shared" si="2"/>
        <v>15</v>
      </c>
      <c r="F16" t="s">
        <v>46</v>
      </c>
      <c r="G16">
        <v>8</v>
      </c>
      <c r="H16" t="s">
        <v>49</v>
      </c>
      <c r="I16" s="108" t="s">
        <v>51</v>
      </c>
    </row>
    <row r="17" spans="1:9">
      <c r="A17" t="s">
        <v>47</v>
      </c>
      <c r="B17" s="95">
        <v>44212</v>
      </c>
      <c r="C17" s="95" t="str">
        <f t="shared" si="0"/>
        <v>Jänner</v>
      </c>
      <c r="D17" s="100" t="str">
        <f t="shared" si="1"/>
        <v>KW2</v>
      </c>
      <c r="E17" s="100" t="str">
        <f t="shared" si="2"/>
        <v>16</v>
      </c>
      <c r="F17" t="s">
        <v>46</v>
      </c>
      <c r="G17">
        <v>8</v>
      </c>
      <c r="H17" t="s">
        <v>49</v>
      </c>
      <c r="I17" s="108" t="s">
        <v>51</v>
      </c>
    </row>
    <row r="18" spans="1:9">
      <c r="A18" t="s">
        <v>47</v>
      </c>
      <c r="B18" s="95">
        <v>44213</v>
      </c>
      <c r="C18" s="95" t="str">
        <f t="shared" si="0"/>
        <v>Jänner</v>
      </c>
      <c r="D18" s="100" t="str">
        <f t="shared" si="1"/>
        <v>KW2</v>
      </c>
      <c r="E18" s="100" t="str">
        <f t="shared" si="2"/>
        <v>17</v>
      </c>
      <c r="F18" t="s">
        <v>46</v>
      </c>
      <c r="G18">
        <v>8</v>
      </c>
      <c r="H18" t="s">
        <v>49</v>
      </c>
      <c r="I18" s="108" t="s">
        <v>51</v>
      </c>
    </row>
    <row r="19" spans="1:9">
      <c r="A19" t="s">
        <v>47</v>
      </c>
      <c r="B19" s="95">
        <v>44214</v>
      </c>
      <c r="C19" s="95" t="str">
        <f t="shared" si="0"/>
        <v>Jänner</v>
      </c>
      <c r="D19" s="100" t="str">
        <f t="shared" si="1"/>
        <v>KW3</v>
      </c>
      <c r="E19" s="100" t="str">
        <f t="shared" si="2"/>
        <v>18</v>
      </c>
      <c r="F19" t="s">
        <v>48</v>
      </c>
      <c r="G19">
        <v>8</v>
      </c>
      <c r="H19" t="s">
        <v>49</v>
      </c>
      <c r="I19" s="108" t="s">
        <v>50</v>
      </c>
    </row>
    <row r="20" spans="1:9">
      <c r="A20" t="s">
        <v>47</v>
      </c>
      <c r="B20" s="95">
        <v>44215</v>
      </c>
      <c r="C20" s="95" t="str">
        <f t="shared" si="0"/>
        <v>Jänner</v>
      </c>
      <c r="D20" s="100" t="str">
        <f t="shared" si="1"/>
        <v>KW3</v>
      </c>
      <c r="E20" s="100" t="str">
        <f t="shared" si="2"/>
        <v>19</v>
      </c>
      <c r="F20" t="s">
        <v>48</v>
      </c>
      <c r="G20">
        <v>8</v>
      </c>
      <c r="H20" t="s">
        <v>49</v>
      </c>
      <c r="I20" s="108" t="s">
        <v>50</v>
      </c>
    </row>
    <row r="21" spans="1:9">
      <c r="A21" t="s">
        <v>47</v>
      </c>
      <c r="B21" s="95">
        <v>44216</v>
      </c>
      <c r="C21" s="95" t="str">
        <f t="shared" si="0"/>
        <v>Jänner</v>
      </c>
      <c r="D21" s="100" t="str">
        <f t="shared" si="1"/>
        <v>KW3</v>
      </c>
      <c r="E21" s="100" t="str">
        <f t="shared" si="2"/>
        <v>20</v>
      </c>
      <c r="F21" t="s">
        <v>48</v>
      </c>
      <c r="G21">
        <v>8</v>
      </c>
      <c r="H21" t="s">
        <v>49</v>
      </c>
      <c r="I21" s="108" t="s">
        <v>50</v>
      </c>
    </row>
    <row r="22" spans="1:9">
      <c r="A22" t="s">
        <v>47</v>
      </c>
      <c r="B22" s="95">
        <v>44217</v>
      </c>
      <c r="C22" s="95" t="str">
        <f t="shared" si="0"/>
        <v>Jänner</v>
      </c>
      <c r="D22" s="100" t="str">
        <f t="shared" si="1"/>
        <v>KW3</v>
      </c>
      <c r="E22" s="100" t="str">
        <f t="shared" si="2"/>
        <v>21</v>
      </c>
      <c r="F22" t="s">
        <v>48</v>
      </c>
      <c r="G22">
        <v>8</v>
      </c>
      <c r="H22" t="s">
        <v>49</v>
      </c>
      <c r="I22" s="108" t="s">
        <v>50</v>
      </c>
    </row>
    <row r="23" spans="1:9">
      <c r="A23" t="s">
        <v>47</v>
      </c>
      <c r="B23" s="95">
        <v>44218</v>
      </c>
      <c r="C23" s="95" t="str">
        <f t="shared" si="0"/>
        <v>Jänner</v>
      </c>
      <c r="D23" s="100" t="str">
        <f t="shared" si="1"/>
        <v>KW3</v>
      </c>
      <c r="E23" s="100" t="str">
        <f t="shared" si="2"/>
        <v>22</v>
      </c>
      <c r="F23" t="s">
        <v>48</v>
      </c>
      <c r="G23">
        <v>8</v>
      </c>
      <c r="H23" t="s">
        <v>49</v>
      </c>
      <c r="I23" s="108" t="s">
        <v>50</v>
      </c>
    </row>
    <row r="24" spans="1:9">
      <c r="A24" t="s">
        <v>47</v>
      </c>
      <c r="B24" s="95">
        <v>44219</v>
      </c>
      <c r="C24" s="95" t="str">
        <f t="shared" si="0"/>
        <v>Jänner</v>
      </c>
      <c r="D24" s="100" t="str">
        <f t="shared" si="1"/>
        <v>KW3</v>
      </c>
      <c r="E24" s="100" t="str">
        <f t="shared" si="2"/>
        <v>23</v>
      </c>
      <c r="F24" t="s">
        <v>48</v>
      </c>
      <c r="G24">
        <v>8</v>
      </c>
      <c r="H24" t="s">
        <v>49</v>
      </c>
      <c r="I24" s="108" t="s">
        <v>50</v>
      </c>
    </row>
    <row r="25" spans="1:9">
      <c r="A25" t="s">
        <v>47</v>
      </c>
      <c r="B25" s="95">
        <v>44220</v>
      </c>
      <c r="C25" s="95" t="str">
        <f t="shared" si="0"/>
        <v>Jänner</v>
      </c>
      <c r="D25" s="100" t="str">
        <f t="shared" si="1"/>
        <v>KW3</v>
      </c>
      <c r="E25" s="100" t="str">
        <f t="shared" si="2"/>
        <v>24</v>
      </c>
      <c r="F25" t="s">
        <v>48</v>
      </c>
      <c r="G25">
        <v>8</v>
      </c>
      <c r="H25" t="s">
        <v>49</v>
      </c>
      <c r="I25" s="108" t="s">
        <v>50</v>
      </c>
    </row>
    <row r="26" spans="1:9">
      <c r="A26" t="s">
        <v>47</v>
      </c>
      <c r="B26" s="95">
        <v>44221</v>
      </c>
      <c r="C26" s="95" t="str">
        <f t="shared" si="0"/>
        <v>Jänner</v>
      </c>
      <c r="D26" s="100" t="str">
        <f t="shared" si="1"/>
        <v>KW4</v>
      </c>
      <c r="E26" s="100" t="str">
        <f t="shared" si="2"/>
        <v>25</v>
      </c>
      <c r="F26" t="s">
        <v>52</v>
      </c>
      <c r="G26">
        <v>8</v>
      </c>
      <c r="H26" t="s">
        <v>49</v>
      </c>
      <c r="I26" s="108" t="s">
        <v>50</v>
      </c>
    </row>
    <row r="27" spans="1:9">
      <c r="A27" t="s">
        <v>47</v>
      </c>
      <c r="B27" s="95">
        <v>44222</v>
      </c>
      <c r="C27" s="95" t="str">
        <f t="shared" si="0"/>
        <v>Jänner</v>
      </c>
      <c r="D27" s="100" t="str">
        <f t="shared" si="1"/>
        <v>KW4</v>
      </c>
      <c r="E27" s="100" t="str">
        <f t="shared" si="2"/>
        <v>26</v>
      </c>
      <c r="F27" t="s">
        <v>52</v>
      </c>
      <c r="G27">
        <v>8</v>
      </c>
      <c r="H27" t="s">
        <v>49</v>
      </c>
      <c r="I27" s="108" t="s">
        <v>50</v>
      </c>
    </row>
    <row r="28" spans="1:9">
      <c r="A28" t="s">
        <v>47</v>
      </c>
      <c r="B28" s="95">
        <v>44223</v>
      </c>
      <c r="C28" s="95" t="str">
        <f t="shared" si="0"/>
        <v>Jänner</v>
      </c>
      <c r="D28" s="100" t="str">
        <f t="shared" si="1"/>
        <v>KW4</v>
      </c>
      <c r="E28" s="100" t="str">
        <f t="shared" si="2"/>
        <v>27</v>
      </c>
      <c r="F28" t="s">
        <v>52</v>
      </c>
      <c r="G28">
        <v>8</v>
      </c>
      <c r="H28" t="s">
        <v>49</v>
      </c>
      <c r="I28" s="108" t="s">
        <v>50</v>
      </c>
    </row>
    <row r="29" spans="1:9">
      <c r="A29" t="s">
        <v>47</v>
      </c>
      <c r="B29" s="95">
        <v>44224</v>
      </c>
      <c r="C29" s="95" t="str">
        <f t="shared" si="0"/>
        <v>Jänner</v>
      </c>
      <c r="D29" s="100" t="str">
        <f t="shared" si="1"/>
        <v>KW4</v>
      </c>
      <c r="E29" s="100" t="str">
        <f t="shared" si="2"/>
        <v>28</v>
      </c>
      <c r="F29" t="s">
        <v>52</v>
      </c>
      <c r="G29">
        <v>8</v>
      </c>
      <c r="H29" t="s">
        <v>49</v>
      </c>
      <c r="I29" s="108" t="s">
        <v>50</v>
      </c>
    </row>
    <row r="30" spans="1:9">
      <c r="A30" t="s">
        <v>47</v>
      </c>
      <c r="B30" s="95">
        <v>44225</v>
      </c>
      <c r="C30" s="95" t="str">
        <f t="shared" si="0"/>
        <v>Jänner</v>
      </c>
      <c r="D30" s="100" t="str">
        <f t="shared" si="1"/>
        <v>KW4</v>
      </c>
      <c r="E30" s="100" t="str">
        <f t="shared" si="2"/>
        <v>29</v>
      </c>
      <c r="F30" t="s">
        <v>52</v>
      </c>
      <c r="G30">
        <v>8</v>
      </c>
      <c r="H30" t="s">
        <v>49</v>
      </c>
      <c r="I30" s="108" t="s">
        <v>50</v>
      </c>
    </row>
    <row r="31" spans="1:9">
      <c r="A31" t="s">
        <v>47</v>
      </c>
      <c r="B31" s="95">
        <v>44226</v>
      </c>
      <c r="C31" s="95" t="str">
        <f t="shared" si="0"/>
        <v>Jänner</v>
      </c>
      <c r="D31" s="100" t="str">
        <f t="shared" si="1"/>
        <v>KW4</v>
      </c>
      <c r="E31" s="100" t="str">
        <f t="shared" si="2"/>
        <v>30</v>
      </c>
      <c r="F31" t="s">
        <v>48</v>
      </c>
      <c r="G31">
        <v>8</v>
      </c>
      <c r="H31" t="s">
        <v>49</v>
      </c>
      <c r="I31" s="108" t="s">
        <v>50</v>
      </c>
    </row>
    <row r="32" spans="1:9">
      <c r="A32" t="s">
        <v>47</v>
      </c>
      <c r="B32" s="95">
        <v>44227</v>
      </c>
      <c r="C32" s="95" t="str">
        <f t="shared" si="0"/>
        <v>Jänner</v>
      </c>
      <c r="D32" s="100" t="str">
        <f t="shared" si="1"/>
        <v>KW4</v>
      </c>
      <c r="E32" s="100" t="str">
        <f t="shared" si="2"/>
        <v>31</v>
      </c>
      <c r="F32" t="s">
        <v>48</v>
      </c>
      <c r="G32">
        <v>8</v>
      </c>
      <c r="H32" t="s">
        <v>49</v>
      </c>
      <c r="I32" s="108" t="s">
        <v>50</v>
      </c>
    </row>
    <row r="33" spans="1:9">
      <c r="A33" t="s">
        <v>47</v>
      </c>
      <c r="B33" s="95">
        <v>44228</v>
      </c>
      <c r="C33" s="95" t="str">
        <f t="shared" si="0"/>
        <v>Februar</v>
      </c>
      <c r="D33" s="100" t="str">
        <f t="shared" si="1"/>
        <v>KW5</v>
      </c>
      <c r="E33" s="100" t="str">
        <f t="shared" si="2"/>
        <v>01</v>
      </c>
      <c r="F33" t="s">
        <v>48</v>
      </c>
      <c r="G33">
        <v>8</v>
      </c>
      <c r="H33" t="s">
        <v>49</v>
      </c>
      <c r="I33" s="108" t="s">
        <v>50</v>
      </c>
    </row>
    <row r="34" spans="1:9">
      <c r="A34" t="s">
        <v>47</v>
      </c>
      <c r="B34" s="95">
        <v>44229</v>
      </c>
      <c r="C34" s="95" t="str">
        <f t="shared" si="0"/>
        <v>Februar</v>
      </c>
      <c r="D34" s="100" t="str">
        <f t="shared" si="1"/>
        <v>KW5</v>
      </c>
      <c r="E34" s="100" t="str">
        <f t="shared" si="2"/>
        <v>02</v>
      </c>
      <c r="F34" t="s">
        <v>48</v>
      </c>
      <c r="G34">
        <v>8</v>
      </c>
      <c r="H34" t="s">
        <v>49</v>
      </c>
      <c r="I34" s="108" t="s">
        <v>50</v>
      </c>
    </row>
    <row r="35" spans="1:9">
      <c r="A35" t="s">
        <v>47</v>
      </c>
      <c r="B35" s="95">
        <v>44230</v>
      </c>
      <c r="C35" s="95" t="str">
        <f t="shared" si="0"/>
        <v>Februar</v>
      </c>
      <c r="D35" s="100" t="str">
        <f t="shared" si="1"/>
        <v>KW5</v>
      </c>
      <c r="E35" s="100" t="str">
        <f t="shared" si="2"/>
        <v>03</v>
      </c>
      <c r="F35" t="s">
        <v>48</v>
      </c>
      <c r="G35">
        <v>8</v>
      </c>
      <c r="H35" t="s">
        <v>49</v>
      </c>
      <c r="I35" s="108" t="s">
        <v>50</v>
      </c>
    </row>
    <row r="36" spans="1:9">
      <c r="A36" t="s">
        <v>47</v>
      </c>
      <c r="B36" s="95">
        <v>44231</v>
      </c>
      <c r="C36" s="95" t="str">
        <f t="shared" si="0"/>
        <v>Februar</v>
      </c>
      <c r="D36" s="100" t="str">
        <f t="shared" si="1"/>
        <v>KW5</v>
      </c>
      <c r="E36" s="100" t="str">
        <f t="shared" si="2"/>
        <v>04</v>
      </c>
      <c r="F36" t="s">
        <v>48</v>
      </c>
      <c r="G36">
        <v>8</v>
      </c>
      <c r="H36" t="s">
        <v>49</v>
      </c>
      <c r="I36" s="108" t="s">
        <v>50</v>
      </c>
    </row>
    <row r="37" spans="1:9">
      <c r="A37" t="s">
        <v>47</v>
      </c>
      <c r="B37" s="95">
        <v>44232</v>
      </c>
      <c r="C37" s="95" t="str">
        <f t="shared" si="0"/>
        <v>Februar</v>
      </c>
      <c r="D37" s="100" t="str">
        <f t="shared" si="1"/>
        <v>KW5</v>
      </c>
      <c r="E37" s="100" t="str">
        <f t="shared" si="2"/>
        <v>05</v>
      </c>
      <c r="F37" t="s">
        <v>48</v>
      </c>
      <c r="G37">
        <v>8</v>
      </c>
      <c r="H37" t="s">
        <v>49</v>
      </c>
      <c r="I37" s="108" t="s">
        <v>50</v>
      </c>
    </row>
    <row r="38" spans="1:9">
      <c r="A38" t="s">
        <v>47</v>
      </c>
      <c r="B38" s="95">
        <v>44233</v>
      </c>
      <c r="C38" s="95" t="str">
        <f t="shared" si="0"/>
        <v>Februar</v>
      </c>
      <c r="D38" s="100" t="str">
        <f t="shared" si="1"/>
        <v>KW5</v>
      </c>
      <c r="E38" s="100" t="str">
        <f t="shared" si="2"/>
        <v>06</v>
      </c>
      <c r="F38" t="s">
        <v>48</v>
      </c>
      <c r="G38">
        <v>8</v>
      </c>
      <c r="H38" t="s">
        <v>49</v>
      </c>
      <c r="I38" s="108" t="s">
        <v>50</v>
      </c>
    </row>
    <row r="39" spans="1:9">
      <c r="A39" t="s">
        <v>47</v>
      </c>
      <c r="B39" s="95">
        <v>44234</v>
      </c>
      <c r="C39" s="95" t="str">
        <f t="shared" si="0"/>
        <v>Februar</v>
      </c>
      <c r="D39" s="100" t="str">
        <f t="shared" si="1"/>
        <v>KW5</v>
      </c>
      <c r="E39" s="100" t="str">
        <f t="shared" si="2"/>
        <v>07</v>
      </c>
      <c r="F39" t="s">
        <v>48</v>
      </c>
      <c r="G39">
        <v>8</v>
      </c>
      <c r="H39" t="s">
        <v>49</v>
      </c>
      <c r="I39" s="108" t="s">
        <v>50</v>
      </c>
    </row>
    <row r="40" spans="1:9">
      <c r="A40" t="s">
        <v>47</v>
      </c>
      <c r="B40" s="95">
        <v>44235</v>
      </c>
      <c r="C40" s="95" t="str">
        <f t="shared" si="0"/>
        <v>Februar</v>
      </c>
      <c r="D40" s="100" t="str">
        <f t="shared" si="1"/>
        <v>KW6</v>
      </c>
      <c r="E40" s="100" t="str">
        <f t="shared" si="2"/>
        <v>08</v>
      </c>
      <c r="F40" t="s">
        <v>48</v>
      </c>
      <c r="G40">
        <v>8</v>
      </c>
      <c r="H40" t="s">
        <v>49</v>
      </c>
      <c r="I40" s="108" t="s">
        <v>50</v>
      </c>
    </row>
    <row r="41" spans="1:9">
      <c r="A41" t="s">
        <v>47</v>
      </c>
      <c r="B41" s="95">
        <v>44236</v>
      </c>
      <c r="C41" s="95" t="str">
        <f t="shared" si="0"/>
        <v>Februar</v>
      </c>
      <c r="D41" s="100" t="str">
        <f t="shared" si="1"/>
        <v>KW6</v>
      </c>
      <c r="E41" s="100" t="str">
        <f t="shared" si="2"/>
        <v>09</v>
      </c>
      <c r="F41" t="s">
        <v>48</v>
      </c>
      <c r="G41">
        <v>8</v>
      </c>
      <c r="H41" t="s">
        <v>49</v>
      </c>
      <c r="I41" s="108" t="s">
        <v>50</v>
      </c>
    </row>
    <row r="42" spans="1:9">
      <c r="A42" t="s">
        <v>47</v>
      </c>
      <c r="B42" s="95">
        <v>44237</v>
      </c>
      <c r="C42" s="95" t="str">
        <f t="shared" si="0"/>
        <v>Februar</v>
      </c>
      <c r="D42" s="100" t="str">
        <f t="shared" si="1"/>
        <v>KW6</v>
      </c>
      <c r="E42" s="100" t="str">
        <f t="shared" si="2"/>
        <v>10</v>
      </c>
      <c r="F42" t="s">
        <v>48</v>
      </c>
      <c r="G42">
        <v>8</v>
      </c>
      <c r="H42" t="s">
        <v>49</v>
      </c>
      <c r="I42" s="108" t="s">
        <v>50</v>
      </c>
    </row>
    <row r="43" spans="1:9">
      <c r="A43" t="s">
        <v>47</v>
      </c>
      <c r="B43" s="95">
        <v>44238</v>
      </c>
      <c r="C43" s="95" t="str">
        <f t="shared" si="0"/>
        <v>Februar</v>
      </c>
      <c r="D43" s="100" t="str">
        <f t="shared" si="1"/>
        <v>KW6</v>
      </c>
      <c r="E43" s="100" t="str">
        <f t="shared" si="2"/>
        <v>11</v>
      </c>
      <c r="F43" t="s">
        <v>48</v>
      </c>
      <c r="G43">
        <v>8</v>
      </c>
      <c r="H43" t="s">
        <v>49</v>
      </c>
      <c r="I43" s="108" t="s">
        <v>50</v>
      </c>
    </row>
    <row r="44" spans="1:9">
      <c r="A44" t="s">
        <v>47</v>
      </c>
      <c r="B44" s="95">
        <v>44239</v>
      </c>
      <c r="C44" s="95" t="str">
        <f t="shared" si="0"/>
        <v>Februar</v>
      </c>
      <c r="D44" s="100" t="str">
        <f t="shared" si="1"/>
        <v>KW6</v>
      </c>
      <c r="E44" s="100" t="str">
        <f t="shared" si="2"/>
        <v>12</v>
      </c>
      <c r="F44" t="s">
        <v>48</v>
      </c>
      <c r="G44">
        <v>8</v>
      </c>
      <c r="H44" t="s">
        <v>49</v>
      </c>
      <c r="I44" s="108" t="s">
        <v>50</v>
      </c>
    </row>
    <row r="45" spans="1:9">
      <c r="A45" t="s">
        <v>47</v>
      </c>
      <c r="B45" s="95">
        <v>44240</v>
      </c>
      <c r="C45" s="95" t="str">
        <f t="shared" si="0"/>
        <v>Februar</v>
      </c>
      <c r="D45" s="100" t="str">
        <f t="shared" si="1"/>
        <v>KW6</v>
      </c>
      <c r="E45" s="100" t="str">
        <f t="shared" si="2"/>
        <v>13</v>
      </c>
      <c r="F45" t="s">
        <v>48</v>
      </c>
      <c r="G45">
        <v>8</v>
      </c>
      <c r="H45" t="s">
        <v>49</v>
      </c>
      <c r="I45" s="108" t="s">
        <v>50</v>
      </c>
    </row>
    <row r="46" spans="1:9">
      <c r="A46" t="s">
        <v>47</v>
      </c>
      <c r="B46" s="95">
        <v>44241</v>
      </c>
      <c r="C46" s="95" t="str">
        <f t="shared" si="0"/>
        <v>Februar</v>
      </c>
      <c r="D46" s="100" t="str">
        <f t="shared" si="1"/>
        <v>KW6</v>
      </c>
      <c r="E46" s="100" t="str">
        <f t="shared" si="2"/>
        <v>14</v>
      </c>
      <c r="F46" t="s">
        <v>48</v>
      </c>
      <c r="G46">
        <v>8</v>
      </c>
      <c r="H46" t="s">
        <v>49</v>
      </c>
      <c r="I46" s="108" t="s">
        <v>50</v>
      </c>
    </row>
    <row r="47" spans="1:9">
      <c r="A47" t="s">
        <v>47</v>
      </c>
      <c r="B47" s="95">
        <v>44242</v>
      </c>
      <c r="C47" s="95" t="str">
        <f t="shared" si="0"/>
        <v>Februar</v>
      </c>
      <c r="D47" s="100" t="str">
        <f t="shared" si="1"/>
        <v>KW7</v>
      </c>
      <c r="E47" s="100" t="str">
        <f t="shared" si="2"/>
        <v>15</v>
      </c>
      <c r="F47" t="s">
        <v>48</v>
      </c>
      <c r="G47">
        <v>8</v>
      </c>
      <c r="H47" t="s">
        <v>49</v>
      </c>
      <c r="I47" s="108" t="s">
        <v>50</v>
      </c>
    </row>
    <row r="48" spans="1:9">
      <c r="A48" t="s">
        <v>47</v>
      </c>
      <c r="B48" s="95">
        <v>44243</v>
      </c>
      <c r="C48" s="95" t="str">
        <f t="shared" si="0"/>
        <v>Februar</v>
      </c>
      <c r="D48" s="100" t="str">
        <f t="shared" si="1"/>
        <v>KW7</v>
      </c>
      <c r="E48" s="100" t="str">
        <f t="shared" si="2"/>
        <v>16</v>
      </c>
      <c r="F48" t="s">
        <v>48</v>
      </c>
      <c r="G48">
        <v>8</v>
      </c>
      <c r="H48" t="s">
        <v>49</v>
      </c>
      <c r="I48" s="108" t="s">
        <v>50</v>
      </c>
    </row>
    <row r="49" spans="1:9">
      <c r="A49" t="s">
        <v>47</v>
      </c>
      <c r="B49" s="95">
        <v>44244</v>
      </c>
      <c r="C49" s="95" t="str">
        <f t="shared" si="0"/>
        <v>Februar</v>
      </c>
      <c r="D49" s="100" t="str">
        <f t="shared" si="1"/>
        <v>KW7</v>
      </c>
      <c r="E49" s="100" t="str">
        <f t="shared" si="2"/>
        <v>17</v>
      </c>
      <c r="F49" t="s">
        <v>48</v>
      </c>
      <c r="G49">
        <v>8</v>
      </c>
      <c r="H49" t="s">
        <v>49</v>
      </c>
      <c r="I49" s="108" t="s">
        <v>50</v>
      </c>
    </row>
    <row r="50" spans="1:9">
      <c r="A50" t="s">
        <v>47</v>
      </c>
      <c r="B50" s="95">
        <v>44245</v>
      </c>
      <c r="C50" s="95" t="str">
        <f t="shared" si="0"/>
        <v>Februar</v>
      </c>
      <c r="D50" s="100" t="str">
        <f t="shared" si="1"/>
        <v>KW7</v>
      </c>
      <c r="E50" s="100" t="str">
        <f t="shared" si="2"/>
        <v>18</v>
      </c>
      <c r="F50" t="s">
        <v>48</v>
      </c>
      <c r="G50">
        <v>8</v>
      </c>
      <c r="H50" t="s">
        <v>49</v>
      </c>
      <c r="I50" s="108" t="s">
        <v>50</v>
      </c>
    </row>
    <row r="51" spans="1:9">
      <c r="A51" t="s">
        <v>47</v>
      </c>
      <c r="B51" s="95">
        <v>44246</v>
      </c>
      <c r="C51" s="95" t="str">
        <f t="shared" si="0"/>
        <v>Februar</v>
      </c>
      <c r="D51" s="100" t="str">
        <f t="shared" si="1"/>
        <v>KW7</v>
      </c>
      <c r="E51" s="100" t="str">
        <f t="shared" si="2"/>
        <v>19</v>
      </c>
      <c r="F51" t="s">
        <v>48</v>
      </c>
      <c r="G51">
        <v>8</v>
      </c>
      <c r="H51" t="s">
        <v>49</v>
      </c>
      <c r="I51" s="108" t="s">
        <v>50</v>
      </c>
    </row>
    <row r="52" spans="1:9">
      <c r="A52" t="s">
        <v>47</v>
      </c>
      <c r="B52" s="95">
        <v>44247</v>
      </c>
      <c r="C52" s="95" t="str">
        <f t="shared" si="0"/>
        <v>Februar</v>
      </c>
      <c r="D52" s="100" t="str">
        <f t="shared" si="1"/>
        <v>KW7</v>
      </c>
      <c r="E52" s="100" t="str">
        <f t="shared" si="2"/>
        <v>20</v>
      </c>
      <c r="F52" t="s">
        <v>48</v>
      </c>
      <c r="G52">
        <v>8</v>
      </c>
      <c r="H52" t="s">
        <v>49</v>
      </c>
      <c r="I52" s="108" t="s">
        <v>50</v>
      </c>
    </row>
    <row r="53" spans="1:9">
      <c r="A53" t="s">
        <v>47</v>
      </c>
      <c r="B53" s="95">
        <v>44248</v>
      </c>
      <c r="C53" s="95" t="str">
        <f t="shared" si="0"/>
        <v>Februar</v>
      </c>
      <c r="D53" s="100" t="str">
        <f t="shared" si="1"/>
        <v>KW7</v>
      </c>
      <c r="E53" s="100" t="str">
        <f t="shared" si="2"/>
        <v>21</v>
      </c>
      <c r="F53" t="s">
        <v>48</v>
      </c>
      <c r="G53">
        <v>8</v>
      </c>
      <c r="H53" t="s">
        <v>49</v>
      </c>
      <c r="I53" s="108" t="s">
        <v>50</v>
      </c>
    </row>
    <row r="54" spans="1:9">
      <c r="A54" t="s">
        <v>47</v>
      </c>
      <c r="B54" s="95">
        <v>44249</v>
      </c>
      <c r="C54" s="95" t="str">
        <f t="shared" si="0"/>
        <v>Februar</v>
      </c>
      <c r="D54" s="100" t="str">
        <f t="shared" si="1"/>
        <v>KW8</v>
      </c>
      <c r="E54" s="100" t="str">
        <f t="shared" si="2"/>
        <v>22</v>
      </c>
      <c r="F54" t="s">
        <v>48</v>
      </c>
      <c r="G54">
        <v>8</v>
      </c>
      <c r="H54" t="s">
        <v>49</v>
      </c>
      <c r="I54" s="108" t="s">
        <v>50</v>
      </c>
    </row>
    <row r="55" spans="1:9">
      <c r="A55" t="s">
        <v>47</v>
      </c>
      <c r="B55" s="95">
        <v>44250</v>
      </c>
      <c r="C55" s="95" t="str">
        <f t="shared" si="0"/>
        <v>Februar</v>
      </c>
      <c r="D55" s="100" t="str">
        <f t="shared" si="1"/>
        <v>KW8</v>
      </c>
      <c r="E55" s="100" t="str">
        <f t="shared" si="2"/>
        <v>23</v>
      </c>
      <c r="F55" t="s">
        <v>48</v>
      </c>
      <c r="G55">
        <v>8</v>
      </c>
      <c r="H55" t="s">
        <v>49</v>
      </c>
      <c r="I55" s="108" t="s">
        <v>50</v>
      </c>
    </row>
    <row r="56" spans="1:9">
      <c r="A56" t="s">
        <v>47</v>
      </c>
      <c r="B56" s="95">
        <v>44251</v>
      </c>
      <c r="C56" s="95" t="str">
        <f t="shared" si="0"/>
        <v>Februar</v>
      </c>
      <c r="D56" s="100" t="str">
        <f t="shared" si="1"/>
        <v>KW8</v>
      </c>
      <c r="E56" s="100" t="str">
        <f t="shared" si="2"/>
        <v>24</v>
      </c>
      <c r="F56" t="s">
        <v>48</v>
      </c>
      <c r="G56">
        <v>8</v>
      </c>
      <c r="H56" t="s">
        <v>49</v>
      </c>
      <c r="I56" s="108" t="s">
        <v>50</v>
      </c>
    </row>
    <row r="57" spans="1:9">
      <c r="A57" t="s">
        <v>47</v>
      </c>
      <c r="B57" s="95">
        <v>44252</v>
      </c>
      <c r="C57" s="95" t="str">
        <f t="shared" si="0"/>
        <v>Februar</v>
      </c>
      <c r="D57" s="100" t="str">
        <f t="shared" si="1"/>
        <v>KW8</v>
      </c>
      <c r="E57" s="100" t="str">
        <f t="shared" si="2"/>
        <v>25</v>
      </c>
      <c r="F57" t="s">
        <v>48</v>
      </c>
      <c r="G57">
        <v>8</v>
      </c>
      <c r="H57" t="s">
        <v>49</v>
      </c>
      <c r="I57" s="108" t="s">
        <v>50</v>
      </c>
    </row>
    <row r="58" spans="1:9">
      <c r="A58" t="s">
        <v>47</v>
      </c>
      <c r="B58" s="95">
        <v>44253</v>
      </c>
      <c r="C58" s="95" t="str">
        <f t="shared" si="0"/>
        <v>Februar</v>
      </c>
      <c r="D58" s="100" t="str">
        <f t="shared" si="1"/>
        <v>KW8</v>
      </c>
      <c r="E58" s="100" t="str">
        <f t="shared" si="2"/>
        <v>26</v>
      </c>
      <c r="F58" t="s">
        <v>48</v>
      </c>
      <c r="G58">
        <v>8</v>
      </c>
      <c r="H58" t="s">
        <v>49</v>
      </c>
      <c r="I58" s="108" t="s">
        <v>50</v>
      </c>
    </row>
    <row r="59" spans="1:9">
      <c r="A59" t="s">
        <v>47</v>
      </c>
      <c r="B59" s="95">
        <v>44254</v>
      </c>
      <c r="C59" s="95" t="str">
        <f t="shared" si="0"/>
        <v>Februar</v>
      </c>
      <c r="D59" s="100" t="str">
        <f t="shared" si="1"/>
        <v>KW8</v>
      </c>
      <c r="E59" s="100" t="str">
        <f t="shared" si="2"/>
        <v>27</v>
      </c>
      <c r="F59" t="s">
        <v>48</v>
      </c>
      <c r="G59">
        <v>8</v>
      </c>
      <c r="H59" t="s">
        <v>49</v>
      </c>
      <c r="I59" s="108" t="s">
        <v>50</v>
      </c>
    </row>
    <row r="60" spans="1:9">
      <c r="A60" t="s">
        <v>47</v>
      </c>
      <c r="B60" s="95">
        <v>44255</v>
      </c>
      <c r="C60" s="95" t="str">
        <f t="shared" si="0"/>
        <v>Februar</v>
      </c>
      <c r="D60" s="100" t="str">
        <f t="shared" si="1"/>
        <v>KW8</v>
      </c>
      <c r="E60" s="100" t="str">
        <f t="shared" si="2"/>
        <v>28</v>
      </c>
      <c r="F60" t="s">
        <v>48</v>
      </c>
      <c r="G60">
        <v>8</v>
      </c>
      <c r="H60" t="s">
        <v>49</v>
      </c>
      <c r="I60" s="108" t="s">
        <v>50</v>
      </c>
    </row>
    <row r="61" spans="1:9">
      <c r="A61" t="s">
        <v>53</v>
      </c>
      <c r="B61" s="95">
        <v>44197</v>
      </c>
      <c r="C61" s="95" t="str">
        <f>TEXT(B61, "MMMM")</f>
        <v>Jänner</v>
      </c>
      <c r="D61" s="100" t="str">
        <f t="shared" si="1"/>
        <v>KW53</v>
      </c>
      <c r="E61" s="100" t="str">
        <f t="shared" si="2"/>
        <v>01</v>
      </c>
      <c r="F61" t="s">
        <v>48</v>
      </c>
      <c r="G61">
        <v>8</v>
      </c>
      <c r="H61" t="s">
        <v>54</v>
      </c>
      <c r="I61" s="108" t="s">
        <v>50</v>
      </c>
    </row>
    <row r="62" spans="1:9">
      <c r="A62" t="s">
        <v>53</v>
      </c>
      <c r="B62" s="95">
        <v>44198</v>
      </c>
      <c r="C62" s="95" t="str">
        <f t="shared" si="0"/>
        <v>Jänner</v>
      </c>
      <c r="D62" s="100" t="str">
        <f t="shared" si="1"/>
        <v>KW53</v>
      </c>
      <c r="E62" s="100" t="str">
        <f t="shared" si="2"/>
        <v>02</v>
      </c>
      <c r="F62" t="s">
        <v>48</v>
      </c>
      <c r="G62">
        <v>8</v>
      </c>
      <c r="H62" t="s">
        <v>54</v>
      </c>
      <c r="I62" s="108" t="s">
        <v>50</v>
      </c>
    </row>
    <row r="63" spans="1:9">
      <c r="A63" t="s">
        <v>53</v>
      </c>
      <c r="B63" s="95">
        <v>44199</v>
      </c>
      <c r="C63" s="95" t="str">
        <f t="shared" si="0"/>
        <v>Jänner</v>
      </c>
      <c r="D63" s="100" t="str">
        <f t="shared" si="1"/>
        <v>KW53</v>
      </c>
      <c r="E63" s="100" t="str">
        <f t="shared" si="2"/>
        <v>03</v>
      </c>
      <c r="F63" t="s">
        <v>48</v>
      </c>
      <c r="G63">
        <v>8</v>
      </c>
      <c r="H63" t="s">
        <v>54</v>
      </c>
      <c r="I63" s="108" t="s">
        <v>50</v>
      </c>
    </row>
    <row r="64" spans="1:9">
      <c r="A64" t="s">
        <v>53</v>
      </c>
      <c r="B64" s="95">
        <v>44200</v>
      </c>
      <c r="C64" s="95" t="str">
        <f t="shared" si="0"/>
        <v>Jänner</v>
      </c>
      <c r="D64" s="100" t="str">
        <f t="shared" si="1"/>
        <v>KW1</v>
      </c>
      <c r="E64" s="100" t="str">
        <f t="shared" si="2"/>
        <v>04</v>
      </c>
      <c r="F64" t="s">
        <v>52</v>
      </c>
      <c r="G64">
        <v>8</v>
      </c>
      <c r="H64" t="s">
        <v>54</v>
      </c>
      <c r="I64" s="108" t="s">
        <v>50</v>
      </c>
    </row>
    <row r="65" spans="1:9">
      <c r="A65" t="s">
        <v>53</v>
      </c>
      <c r="B65" s="95">
        <v>44201</v>
      </c>
      <c r="C65" s="95" t="str">
        <f t="shared" si="0"/>
        <v>Jänner</v>
      </c>
      <c r="D65" s="100" t="str">
        <f t="shared" si="1"/>
        <v>KW1</v>
      </c>
      <c r="E65" s="100" t="str">
        <f t="shared" si="2"/>
        <v>05</v>
      </c>
      <c r="F65" t="s">
        <v>52</v>
      </c>
      <c r="G65">
        <v>8</v>
      </c>
      <c r="H65" t="s">
        <v>54</v>
      </c>
      <c r="I65" s="108" t="s">
        <v>50</v>
      </c>
    </row>
    <row r="66" spans="1:9">
      <c r="A66" t="s">
        <v>53</v>
      </c>
      <c r="B66" s="95">
        <v>44202</v>
      </c>
      <c r="C66" s="95" t="str">
        <f t="shared" si="0"/>
        <v>Jänner</v>
      </c>
      <c r="D66" s="100" t="str">
        <f t="shared" si="1"/>
        <v>KW1</v>
      </c>
      <c r="E66" s="100" t="str">
        <f t="shared" si="2"/>
        <v>06</v>
      </c>
      <c r="F66" t="s">
        <v>52</v>
      </c>
      <c r="G66">
        <v>8</v>
      </c>
      <c r="H66" t="s">
        <v>54</v>
      </c>
      <c r="I66" s="108" t="s">
        <v>50</v>
      </c>
    </row>
    <row r="67" spans="1:9">
      <c r="A67" t="s">
        <v>53</v>
      </c>
      <c r="B67" s="95">
        <v>44203</v>
      </c>
      <c r="C67" s="95" t="str">
        <f t="shared" ref="C67:C119" si="3">TEXT(B67, "MMMM")</f>
        <v>Jänner</v>
      </c>
      <c r="D67" s="100" t="str">
        <f t="shared" ref="D67:D130" si="4">CONCATENATE("KW",WEEKNUM(B67,21))</f>
        <v>KW1</v>
      </c>
      <c r="E67" s="100" t="str">
        <f t="shared" ref="E67:E130" si="5">TEXT(DAY(B67),"TT")</f>
        <v>07</v>
      </c>
      <c r="F67" t="s">
        <v>52</v>
      </c>
      <c r="G67">
        <v>8</v>
      </c>
      <c r="H67" t="s">
        <v>54</v>
      </c>
      <c r="I67" s="108" t="s">
        <v>50</v>
      </c>
    </row>
    <row r="68" spans="1:9">
      <c r="A68" t="s">
        <v>53</v>
      </c>
      <c r="B68" s="95">
        <v>44204</v>
      </c>
      <c r="C68" s="95" t="str">
        <f t="shared" si="3"/>
        <v>Jänner</v>
      </c>
      <c r="D68" s="100" t="str">
        <f t="shared" si="4"/>
        <v>KW1</v>
      </c>
      <c r="E68" s="100" t="str">
        <f t="shared" si="5"/>
        <v>08</v>
      </c>
      <c r="F68" t="s">
        <v>52</v>
      </c>
      <c r="G68">
        <v>8</v>
      </c>
      <c r="H68" t="s">
        <v>54</v>
      </c>
      <c r="I68" s="108" t="s">
        <v>50</v>
      </c>
    </row>
    <row r="69" spans="1:9">
      <c r="A69" t="s">
        <v>53</v>
      </c>
      <c r="B69" s="95">
        <v>44205</v>
      </c>
      <c r="C69" s="95" t="str">
        <f t="shared" si="3"/>
        <v>Jänner</v>
      </c>
      <c r="D69" s="100" t="str">
        <f t="shared" si="4"/>
        <v>KW1</v>
      </c>
      <c r="E69" s="100" t="str">
        <f t="shared" si="5"/>
        <v>09</v>
      </c>
      <c r="F69" t="s">
        <v>48</v>
      </c>
      <c r="G69">
        <v>8</v>
      </c>
      <c r="H69" t="s">
        <v>54</v>
      </c>
      <c r="I69" s="108" t="s">
        <v>50</v>
      </c>
    </row>
    <row r="70" spans="1:9">
      <c r="A70" t="s">
        <v>53</v>
      </c>
      <c r="B70" s="95">
        <v>44206</v>
      </c>
      <c r="C70" s="95" t="str">
        <f t="shared" si="3"/>
        <v>Jänner</v>
      </c>
      <c r="D70" s="100" t="str">
        <f t="shared" si="4"/>
        <v>KW1</v>
      </c>
      <c r="E70" s="100" t="str">
        <f t="shared" si="5"/>
        <v>10</v>
      </c>
      <c r="F70" t="s">
        <v>48</v>
      </c>
      <c r="G70">
        <v>8</v>
      </c>
      <c r="H70" t="s">
        <v>54</v>
      </c>
      <c r="I70" s="108" t="s">
        <v>50</v>
      </c>
    </row>
    <row r="71" spans="1:9">
      <c r="A71" t="s">
        <v>53</v>
      </c>
      <c r="B71" s="95">
        <v>44207</v>
      </c>
      <c r="C71" s="95" t="str">
        <f t="shared" si="3"/>
        <v>Jänner</v>
      </c>
      <c r="D71" s="100" t="str">
        <f t="shared" si="4"/>
        <v>KW2</v>
      </c>
      <c r="E71" s="100" t="str">
        <f t="shared" si="5"/>
        <v>11</v>
      </c>
      <c r="F71" t="s">
        <v>48</v>
      </c>
      <c r="G71">
        <v>8</v>
      </c>
      <c r="H71" t="s">
        <v>54</v>
      </c>
      <c r="I71" s="108" t="s">
        <v>50</v>
      </c>
    </row>
    <row r="72" spans="1:9">
      <c r="A72" t="s">
        <v>53</v>
      </c>
      <c r="B72" s="95">
        <v>44208</v>
      </c>
      <c r="C72" s="95" t="str">
        <f t="shared" si="3"/>
        <v>Jänner</v>
      </c>
      <c r="D72" s="100" t="str">
        <f t="shared" si="4"/>
        <v>KW2</v>
      </c>
      <c r="E72" s="100" t="str">
        <f t="shared" si="5"/>
        <v>12</v>
      </c>
      <c r="F72" t="s">
        <v>48</v>
      </c>
      <c r="G72">
        <v>8</v>
      </c>
      <c r="H72" t="s">
        <v>54</v>
      </c>
      <c r="I72" s="108" t="s">
        <v>50</v>
      </c>
    </row>
    <row r="73" spans="1:9">
      <c r="A73" t="s">
        <v>53</v>
      </c>
      <c r="B73" s="95">
        <v>44209</v>
      </c>
      <c r="C73" s="95" t="str">
        <f t="shared" si="3"/>
        <v>Jänner</v>
      </c>
      <c r="D73" s="100" t="str">
        <f t="shared" si="4"/>
        <v>KW2</v>
      </c>
      <c r="E73" s="100" t="str">
        <f t="shared" si="5"/>
        <v>13</v>
      </c>
      <c r="F73" t="s">
        <v>48</v>
      </c>
      <c r="G73">
        <v>8</v>
      </c>
      <c r="H73" t="s">
        <v>54</v>
      </c>
      <c r="I73" s="108" t="s">
        <v>50</v>
      </c>
    </row>
    <row r="74" spans="1:9">
      <c r="A74" t="s">
        <v>53</v>
      </c>
      <c r="B74" s="95">
        <v>44210</v>
      </c>
      <c r="C74" s="95" t="str">
        <f t="shared" si="3"/>
        <v>Jänner</v>
      </c>
      <c r="D74" s="100" t="str">
        <f t="shared" si="4"/>
        <v>KW2</v>
      </c>
      <c r="E74" s="100" t="str">
        <f t="shared" si="5"/>
        <v>14</v>
      </c>
      <c r="F74" t="s">
        <v>48</v>
      </c>
      <c r="G74">
        <v>8</v>
      </c>
      <c r="H74" t="s">
        <v>54</v>
      </c>
      <c r="I74" s="108" t="s">
        <v>50</v>
      </c>
    </row>
    <row r="75" spans="1:9">
      <c r="A75" t="s">
        <v>53</v>
      </c>
      <c r="B75" s="95">
        <v>44211</v>
      </c>
      <c r="C75" s="95" t="str">
        <f t="shared" si="3"/>
        <v>Jänner</v>
      </c>
      <c r="D75" s="100" t="str">
        <f t="shared" si="4"/>
        <v>KW2</v>
      </c>
      <c r="E75" s="100" t="str">
        <f t="shared" si="5"/>
        <v>15</v>
      </c>
      <c r="F75" t="s">
        <v>48</v>
      </c>
      <c r="G75">
        <v>8</v>
      </c>
      <c r="H75" t="s">
        <v>54</v>
      </c>
      <c r="I75" s="108" t="s">
        <v>50</v>
      </c>
    </row>
    <row r="76" spans="1:9">
      <c r="A76" t="s">
        <v>53</v>
      </c>
      <c r="B76" s="95">
        <v>44212</v>
      </c>
      <c r="C76" s="95" t="str">
        <f t="shared" si="3"/>
        <v>Jänner</v>
      </c>
      <c r="D76" s="100" t="str">
        <f t="shared" si="4"/>
        <v>KW2</v>
      </c>
      <c r="E76" s="100" t="str">
        <f t="shared" si="5"/>
        <v>16</v>
      </c>
      <c r="F76" t="s">
        <v>48</v>
      </c>
      <c r="G76">
        <v>8</v>
      </c>
      <c r="H76" t="s">
        <v>54</v>
      </c>
      <c r="I76" s="108" t="s">
        <v>50</v>
      </c>
    </row>
    <row r="77" spans="1:9">
      <c r="A77" t="s">
        <v>53</v>
      </c>
      <c r="B77" s="95">
        <v>44213</v>
      </c>
      <c r="C77" s="95" t="str">
        <f t="shared" si="3"/>
        <v>Jänner</v>
      </c>
      <c r="D77" s="100" t="str">
        <f t="shared" si="4"/>
        <v>KW2</v>
      </c>
      <c r="E77" s="100" t="str">
        <f t="shared" si="5"/>
        <v>17</v>
      </c>
      <c r="F77" t="s">
        <v>48</v>
      </c>
      <c r="G77">
        <v>8</v>
      </c>
      <c r="H77" t="s">
        <v>54</v>
      </c>
      <c r="I77" s="108" t="s">
        <v>50</v>
      </c>
    </row>
    <row r="78" spans="1:9">
      <c r="A78" t="s">
        <v>53</v>
      </c>
      <c r="B78" s="95">
        <v>44214</v>
      </c>
      <c r="C78" s="95" t="str">
        <f t="shared" si="3"/>
        <v>Jänner</v>
      </c>
      <c r="D78" s="100" t="str">
        <f t="shared" si="4"/>
        <v>KW3</v>
      </c>
      <c r="E78" s="100" t="str">
        <f t="shared" si="5"/>
        <v>18</v>
      </c>
      <c r="F78" t="s">
        <v>48</v>
      </c>
      <c r="G78">
        <v>8</v>
      </c>
      <c r="H78" t="s">
        <v>54</v>
      </c>
      <c r="I78" s="108" t="s">
        <v>50</v>
      </c>
    </row>
    <row r="79" spans="1:9">
      <c r="A79" t="s">
        <v>53</v>
      </c>
      <c r="B79" s="95">
        <v>44215</v>
      </c>
      <c r="C79" s="95" t="str">
        <f t="shared" si="3"/>
        <v>Jänner</v>
      </c>
      <c r="D79" s="100" t="str">
        <f t="shared" si="4"/>
        <v>KW3</v>
      </c>
      <c r="E79" s="100" t="str">
        <f t="shared" si="5"/>
        <v>19</v>
      </c>
      <c r="F79" t="s">
        <v>48</v>
      </c>
      <c r="G79">
        <v>8</v>
      </c>
      <c r="H79" t="s">
        <v>54</v>
      </c>
      <c r="I79" s="108" t="s">
        <v>50</v>
      </c>
    </row>
    <row r="80" spans="1:9">
      <c r="A80" t="s">
        <v>53</v>
      </c>
      <c r="B80" s="95">
        <v>44216</v>
      </c>
      <c r="C80" s="95" t="str">
        <f t="shared" si="3"/>
        <v>Jänner</v>
      </c>
      <c r="D80" s="100" t="str">
        <f t="shared" si="4"/>
        <v>KW3</v>
      </c>
      <c r="E80" s="100" t="str">
        <f t="shared" si="5"/>
        <v>20</v>
      </c>
      <c r="F80" t="s">
        <v>48</v>
      </c>
      <c r="G80">
        <v>8</v>
      </c>
      <c r="H80" t="s">
        <v>54</v>
      </c>
      <c r="I80" s="108" t="s">
        <v>50</v>
      </c>
    </row>
    <row r="81" spans="1:9">
      <c r="A81" t="s">
        <v>53</v>
      </c>
      <c r="B81" s="95">
        <v>44217</v>
      </c>
      <c r="C81" s="95" t="str">
        <f t="shared" si="3"/>
        <v>Jänner</v>
      </c>
      <c r="D81" s="100" t="str">
        <f t="shared" si="4"/>
        <v>KW3</v>
      </c>
      <c r="E81" s="100" t="str">
        <f t="shared" si="5"/>
        <v>21</v>
      </c>
      <c r="F81" t="s">
        <v>48</v>
      </c>
      <c r="G81">
        <v>8</v>
      </c>
      <c r="H81" t="s">
        <v>54</v>
      </c>
      <c r="I81" s="108" t="s">
        <v>50</v>
      </c>
    </row>
    <row r="82" spans="1:9">
      <c r="A82" t="s">
        <v>53</v>
      </c>
      <c r="B82" s="95">
        <v>44218</v>
      </c>
      <c r="C82" s="95" t="str">
        <f t="shared" si="3"/>
        <v>Jänner</v>
      </c>
      <c r="D82" s="100" t="str">
        <f t="shared" si="4"/>
        <v>KW3</v>
      </c>
      <c r="E82" s="100" t="str">
        <f t="shared" si="5"/>
        <v>22</v>
      </c>
      <c r="F82" t="s">
        <v>48</v>
      </c>
      <c r="G82">
        <v>8</v>
      </c>
      <c r="H82" t="s">
        <v>54</v>
      </c>
      <c r="I82" s="108" t="s">
        <v>50</v>
      </c>
    </row>
    <row r="83" spans="1:9">
      <c r="A83" t="s">
        <v>53</v>
      </c>
      <c r="B83" s="95">
        <v>44219</v>
      </c>
      <c r="C83" s="95" t="str">
        <f t="shared" si="3"/>
        <v>Jänner</v>
      </c>
      <c r="D83" s="100" t="str">
        <f t="shared" si="4"/>
        <v>KW3</v>
      </c>
      <c r="E83" s="100" t="str">
        <f t="shared" si="5"/>
        <v>23</v>
      </c>
      <c r="F83" t="s">
        <v>48</v>
      </c>
      <c r="G83">
        <v>8</v>
      </c>
      <c r="H83" t="s">
        <v>54</v>
      </c>
      <c r="I83" s="108" t="s">
        <v>50</v>
      </c>
    </row>
    <row r="84" spans="1:9">
      <c r="A84" t="s">
        <v>53</v>
      </c>
      <c r="B84" s="95">
        <v>44220</v>
      </c>
      <c r="C84" s="95" t="str">
        <f t="shared" si="3"/>
        <v>Jänner</v>
      </c>
      <c r="D84" s="100" t="str">
        <f t="shared" si="4"/>
        <v>KW3</v>
      </c>
      <c r="E84" s="100" t="str">
        <f t="shared" si="5"/>
        <v>24</v>
      </c>
      <c r="F84" t="s">
        <v>48</v>
      </c>
      <c r="G84">
        <v>8</v>
      </c>
      <c r="H84" t="s">
        <v>54</v>
      </c>
      <c r="I84" s="108" t="s">
        <v>50</v>
      </c>
    </row>
    <row r="85" spans="1:9">
      <c r="A85" t="s">
        <v>53</v>
      </c>
      <c r="B85" s="95">
        <v>44221</v>
      </c>
      <c r="C85" s="95" t="str">
        <f t="shared" si="3"/>
        <v>Jänner</v>
      </c>
      <c r="D85" s="100" t="str">
        <f t="shared" si="4"/>
        <v>KW4</v>
      </c>
      <c r="E85" s="100" t="str">
        <f t="shared" si="5"/>
        <v>25</v>
      </c>
      <c r="F85" t="s">
        <v>48</v>
      </c>
      <c r="G85">
        <v>8</v>
      </c>
      <c r="H85" t="s">
        <v>54</v>
      </c>
      <c r="I85" s="108" t="s">
        <v>50</v>
      </c>
    </row>
    <row r="86" spans="1:9">
      <c r="A86" t="s">
        <v>53</v>
      </c>
      <c r="B86" s="95">
        <v>44222</v>
      </c>
      <c r="C86" s="95" t="str">
        <f t="shared" si="3"/>
        <v>Jänner</v>
      </c>
      <c r="D86" s="100" t="str">
        <f t="shared" si="4"/>
        <v>KW4</v>
      </c>
      <c r="E86" s="100" t="str">
        <f t="shared" si="5"/>
        <v>26</v>
      </c>
      <c r="F86" t="s">
        <v>48</v>
      </c>
      <c r="G86">
        <v>8</v>
      </c>
      <c r="H86" t="s">
        <v>54</v>
      </c>
      <c r="I86" s="108" t="s">
        <v>50</v>
      </c>
    </row>
    <row r="87" spans="1:9">
      <c r="A87" t="s">
        <v>53</v>
      </c>
      <c r="B87" s="95">
        <v>44223</v>
      </c>
      <c r="C87" s="95" t="str">
        <f t="shared" si="3"/>
        <v>Jänner</v>
      </c>
      <c r="D87" s="100" t="str">
        <f t="shared" si="4"/>
        <v>KW4</v>
      </c>
      <c r="E87" s="100" t="str">
        <f t="shared" si="5"/>
        <v>27</v>
      </c>
      <c r="F87" t="s">
        <v>48</v>
      </c>
      <c r="G87">
        <v>8</v>
      </c>
      <c r="H87" t="s">
        <v>54</v>
      </c>
      <c r="I87" s="108" t="s">
        <v>50</v>
      </c>
    </row>
    <row r="88" spans="1:9">
      <c r="A88" t="s">
        <v>53</v>
      </c>
      <c r="B88" s="95">
        <v>44224</v>
      </c>
      <c r="C88" s="95" t="str">
        <f t="shared" si="3"/>
        <v>Jänner</v>
      </c>
      <c r="D88" s="100" t="str">
        <f t="shared" si="4"/>
        <v>KW4</v>
      </c>
      <c r="E88" s="100" t="str">
        <f t="shared" si="5"/>
        <v>28</v>
      </c>
      <c r="F88" t="s">
        <v>48</v>
      </c>
      <c r="G88">
        <v>8</v>
      </c>
      <c r="H88" t="s">
        <v>54</v>
      </c>
      <c r="I88" s="108" t="s">
        <v>50</v>
      </c>
    </row>
    <row r="89" spans="1:9">
      <c r="A89" t="s">
        <v>53</v>
      </c>
      <c r="B89" s="95">
        <v>44225</v>
      </c>
      <c r="C89" s="95" t="str">
        <f t="shared" si="3"/>
        <v>Jänner</v>
      </c>
      <c r="D89" s="100" t="str">
        <f t="shared" si="4"/>
        <v>KW4</v>
      </c>
      <c r="E89" s="100" t="str">
        <f t="shared" si="5"/>
        <v>29</v>
      </c>
      <c r="F89" t="s">
        <v>46</v>
      </c>
      <c r="G89">
        <v>8</v>
      </c>
      <c r="H89" t="s">
        <v>54</v>
      </c>
      <c r="I89" s="108" t="s">
        <v>51</v>
      </c>
    </row>
    <row r="90" spans="1:9">
      <c r="A90" t="s">
        <v>53</v>
      </c>
      <c r="B90" s="95">
        <v>44226</v>
      </c>
      <c r="C90" s="95" t="str">
        <f t="shared" si="3"/>
        <v>Jänner</v>
      </c>
      <c r="D90" s="100" t="str">
        <f t="shared" si="4"/>
        <v>KW4</v>
      </c>
      <c r="E90" s="100" t="str">
        <f t="shared" si="5"/>
        <v>30</v>
      </c>
      <c r="F90" t="s">
        <v>46</v>
      </c>
      <c r="G90">
        <v>8</v>
      </c>
      <c r="H90" t="s">
        <v>54</v>
      </c>
      <c r="I90" s="108" t="s">
        <v>51</v>
      </c>
    </row>
    <row r="91" spans="1:9">
      <c r="A91" t="s">
        <v>53</v>
      </c>
      <c r="B91" s="95">
        <v>44227</v>
      </c>
      <c r="C91" s="95" t="str">
        <f t="shared" si="3"/>
        <v>Jänner</v>
      </c>
      <c r="D91" s="100" t="str">
        <f t="shared" si="4"/>
        <v>KW4</v>
      </c>
      <c r="E91" s="100" t="str">
        <f t="shared" si="5"/>
        <v>31</v>
      </c>
      <c r="F91" t="s">
        <v>46</v>
      </c>
      <c r="G91">
        <v>8</v>
      </c>
      <c r="H91" t="s">
        <v>54</v>
      </c>
      <c r="I91" s="108" t="s">
        <v>51</v>
      </c>
    </row>
    <row r="92" spans="1:9">
      <c r="A92" t="s">
        <v>53</v>
      </c>
      <c r="B92" s="95">
        <v>44228</v>
      </c>
      <c r="C92" s="95" t="str">
        <f t="shared" si="3"/>
        <v>Februar</v>
      </c>
      <c r="D92" s="100" t="str">
        <f t="shared" si="4"/>
        <v>KW5</v>
      </c>
      <c r="E92" s="100" t="str">
        <f t="shared" si="5"/>
        <v>01</v>
      </c>
      <c r="F92" t="s">
        <v>46</v>
      </c>
      <c r="G92">
        <v>8</v>
      </c>
      <c r="H92" t="s">
        <v>54</v>
      </c>
      <c r="I92" s="108" t="s">
        <v>51</v>
      </c>
    </row>
    <row r="93" spans="1:9">
      <c r="A93" t="s">
        <v>53</v>
      </c>
      <c r="B93" s="95">
        <v>44229</v>
      </c>
      <c r="C93" s="95" t="str">
        <f t="shared" si="3"/>
        <v>Februar</v>
      </c>
      <c r="D93" s="100" t="str">
        <f t="shared" si="4"/>
        <v>KW5</v>
      </c>
      <c r="E93" s="100" t="str">
        <f t="shared" si="5"/>
        <v>02</v>
      </c>
      <c r="F93" t="s">
        <v>46</v>
      </c>
      <c r="G93">
        <v>8</v>
      </c>
      <c r="H93" t="s">
        <v>54</v>
      </c>
      <c r="I93" s="108" t="s">
        <v>51</v>
      </c>
    </row>
    <row r="94" spans="1:9">
      <c r="A94" t="s">
        <v>53</v>
      </c>
      <c r="B94" s="95">
        <v>44230</v>
      </c>
      <c r="C94" s="95" t="str">
        <f t="shared" si="3"/>
        <v>Februar</v>
      </c>
      <c r="D94" s="100" t="str">
        <f t="shared" si="4"/>
        <v>KW5</v>
      </c>
      <c r="E94" s="100" t="str">
        <f t="shared" si="5"/>
        <v>03</v>
      </c>
      <c r="F94" t="s">
        <v>46</v>
      </c>
      <c r="G94">
        <v>8</v>
      </c>
      <c r="H94" t="s">
        <v>54</v>
      </c>
      <c r="I94" s="108" t="s">
        <v>51</v>
      </c>
    </row>
    <row r="95" spans="1:9">
      <c r="A95" t="s">
        <v>53</v>
      </c>
      <c r="B95" s="95">
        <v>44231</v>
      </c>
      <c r="C95" s="95" t="str">
        <f t="shared" si="3"/>
        <v>Februar</v>
      </c>
      <c r="D95" s="100" t="str">
        <f t="shared" si="4"/>
        <v>KW5</v>
      </c>
      <c r="E95" s="100" t="str">
        <f t="shared" si="5"/>
        <v>04</v>
      </c>
      <c r="F95" t="s">
        <v>46</v>
      </c>
      <c r="G95">
        <v>8</v>
      </c>
      <c r="H95" t="s">
        <v>54</v>
      </c>
      <c r="I95" s="108" t="s">
        <v>51</v>
      </c>
    </row>
    <row r="96" spans="1:9">
      <c r="A96" t="s">
        <v>53</v>
      </c>
      <c r="B96" s="95">
        <v>44232</v>
      </c>
      <c r="C96" s="95" t="str">
        <f t="shared" si="3"/>
        <v>Februar</v>
      </c>
      <c r="D96" s="100" t="str">
        <f t="shared" si="4"/>
        <v>KW5</v>
      </c>
      <c r="E96" s="100" t="str">
        <f t="shared" si="5"/>
        <v>05</v>
      </c>
      <c r="F96" t="s">
        <v>46</v>
      </c>
      <c r="G96">
        <v>8</v>
      </c>
      <c r="H96" t="s">
        <v>54</v>
      </c>
      <c r="I96" s="108" t="s">
        <v>51</v>
      </c>
    </row>
    <row r="97" spans="1:9">
      <c r="A97" t="s">
        <v>53</v>
      </c>
      <c r="B97" s="95">
        <v>44233</v>
      </c>
      <c r="C97" s="95" t="str">
        <f t="shared" si="3"/>
        <v>Februar</v>
      </c>
      <c r="D97" s="100" t="str">
        <f t="shared" si="4"/>
        <v>KW5</v>
      </c>
      <c r="E97" s="100" t="str">
        <f t="shared" si="5"/>
        <v>06</v>
      </c>
      <c r="F97" t="s">
        <v>48</v>
      </c>
      <c r="G97">
        <v>8</v>
      </c>
      <c r="H97" t="s">
        <v>54</v>
      </c>
      <c r="I97" s="108" t="s">
        <v>50</v>
      </c>
    </row>
    <row r="98" spans="1:9">
      <c r="A98" t="s">
        <v>53</v>
      </c>
      <c r="B98" s="95">
        <v>44234</v>
      </c>
      <c r="C98" s="95" t="str">
        <f t="shared" si="3"/>
        <v>Februar</v>
      </c>
      <c r="D98" s="100" t="str">
        <f t="shared" si="4"/>
        <v>KW5</v>
      </c>
      <c r="E98" s="100" t="str">
        <f t="shared" si="5"/>
        <v>07</v>
      </c>
      <c r="F98" t="s">
        <v>48</v>
      </c>
      <c r="G98">
        <v>8</v>
      </c>
      <c r="H98" t="s">
        <v>54</v>
      </c>
      <c r="I98" s="108" t="s">
        <v>50</v>
      </c>
    </row>
    <row r="99" spans="1:9">
      <c r="A99" t="s">
        <v>53</v>
      </c>
      <c r="B99" s="95">
        <v>44235</v>
      </c>
      <c r="C99" s="95" t="str">
        <f t="shared" si="3"/>
        <v>Februar</v>
      </c>
      <c r="D99" s="100" t="str">
        <f t="shared" si="4"/>
        <v>KW6</v>
      </c>
      <c r="E99" s="100" t="str">
        <f t="shared" si="5"/>
        <v>08</v>
      </c>
      <c r="F99" t="s">
        <v>48</v>
      </c>
      <c r="G99">
        <v>8</v>
      </c>
      <c r="H99" t="s">
        <v>54</v>
      </c>
      <c r="I99" s="108" t="s">
        <v>50</v>
      </c>
    </row>
    <row r="100" spans="1:9">
      <c r="A100" t="s">
        <v>53</v>
      </c>
      <c r="B100" s="95">
        <v>44236</v>
      </c>
      <c r="C100" s="95" t="str">
        <f t="shared" si="3"/>
        <v>Februar</v>
      </c>
      <c r="D100" s="100" t="str">
        <f t="shared" si="4"/>
        <v>KW6</v>
      </c>
      <c r="E100" s="100" t="str">
        <f t="shared" si="5"/>
        <v>09</v>
      </c>
      <c r="F100" t="s">
        <v>48</v>
      </c>
      <c r="G100">
        <v>8</v>
      </c>
      <c r="H100" t="s">
        <v>54</v>
      </c>
      <c r="I100" s="108" t="s">
        <v>50</v>
      </c>
    </row>
    <row r="101" spans="1:9">
      <c r="A101" t="s">
        <v>53</v>
      </c>
      <c r="B101" s="95">
        <v>44237</v>
      </c>
      <c r="C101" s="95" t="str">
        <f t="shared" si="3"/>
        <v>Februar</v>
      </c>
      <c r="D101" s="100" t="str">
        <f t="shared" si="4"/>
        <v>KW6</v>
      </c>
      <c r="E101" s="100" t="str">
        <f t="shared" si="5"/>
        <v>10</v>
      </c>
      <c r="F101" t="s">
        <v>48</v>
      </c>
      <c r="G101">
        <v>8</v>
      </c>
      <c r="H101" t="s">
        <v>54</v>
      </c>
      <c r="I101" s="108" t="s">
        <v>50</v>
      </c>
    </row>
    <row r="102" spans="1:9">
      <c r="A102" t="s">
        <v>53</v>
      </c>
      <c r="B102" s="95">
        <v>44238</v>
      </c>
      <c r="C102" s="95" t="str">
        <f t="shared" si="3"/>
        <v>Februar</v>
      </c>
      <c r="D102" s="100" t="str">
        <f t="shared" si="4"/>
        <v>KW6</v>
      </c>
      <c r="E102" s="100" t="str">
        <f t="shared" si="5"/>
        <v>11</v>
      </c>
      <c r="F102" t="s">
        <v>48</v>
      </c>
      <c r="G102">
        <v>8</v>
      </c>
      <c r="H102" t="s">
        <v>54</v>
      </c>
      <c r="I102" s="108" t="s">
        <v>50</v>
      </c>
    </row>
    <row r="103" spans="1:9">
      <c r="A103" t="s">
        <v>53</v>
      </c>
      <c r="B103" s="95">
        <v>44239</v>
      </c>
      <c r="C103" s="95" t="str">
        <f t="shared" si="3"/>
        <v>Februar</v>
      </c>
      <c r="D103" s="100" t="str">
        <f t="shared" si="4"/>
        <v>KW6</v>
      </c>
      <c r="E103" s="100" t="str">
        <f t="shared" si="5"/>
        <v>12</v>
      </c>
      <c r="F103" t="s">
        <v>48</v>
      </c>
      <c r="G103">
        <v>8</v>
      </c>
      <c r="H103" t="s">
        <v>54</v>
      </c>
      <c r="I103" s="108" t="s">
        <v>50</v>
      </c>
    </row>
    <row r="104" spans="1:9">
      <c r="A104" t="s">
        <v>53</v>
      </c>
      <c r="B104" s="95">
        <v>44240</v>
      </c>
      <c r="C104" s="95" t="str">
        <f t="shared" si="3"/>
        <v>Februar</v>
      </c>
      <c r="D104" s="100" t="str">
        <f t="shared" si="4"/>
        <v>KW6</v>
      </c>
      <c r="E104" s="100" t="str">
        <f t="shared" si="5"/>
        <v>13</v>
      </c>
      <c r="F104" t="s">
        <v>48</v>
      </c>
      <c r="G104">
        <v>8</v>
      </c>
      <c r="H104" t="s">
        <v>54</v>
      </c>
      <c r="I104" s="108" t="s">
        <v>50</v>
      </c>
    </row>
    <row r="105" spans="1:9">
      <c r="A105" t="s">
        <v>53</v>
      </c>
      <c r="B105" s="95">
        <v>44241</v>
      </c>
      <c r="C105" s="95" t="str">
        <f t="shared" si="3"/>
        <v>Februar</v>
      </c>
      <c r="D105" s="100" t="str">
        <f t="shared" si="4"/>
        <v>KW6</v>
      </c>
      <c r="E105" s="100" t="str">
        <f t="shared" si="5"/>
        <v>14</v>
      </c>
      <c r="F105" t="s">
        <v>48</v>
      </c>
      <c r="G105">
        <v>8</v>
      </c>
      <c r="H105" t="s">
        <v>54</v>
      </c>
      <c r="I105" s="108" t="s">
        <v>50</v>
      </c>
    </row>
    <row r="106" spans="1:9">
      <c r="A106" t="s">
        <v>53</v>
      </c>
      <c r="B106" s="95">
        <v>44242</v>
      </c>
      <c r="C106" s="95" t="str">
        <f t="shared" si="3"/>
        <v>Februar</v>
      </c>
      <c r="D106" s="100" t="str">
        <f t="shared" si="4"/>
        <v>KW7</v>
      </c>
      <c r="E106" s="100" t="str">
        <f t="shared" si="5"/>
        <v>15</v>
      </c>
      <c r="F106" t="s">
        <v>48</v>
      </c>
      <c r="G106">
        <v>8</v>
      </c>
      <c r="H106" t="s">
        <v>54</v>
      </c>
      <c r="I106" s="108" t="s">
        <v>50</v>
      </c>
    </row>
    <row r="107" spans="1:9">
      <c r="A107" t="s">
        <v>53</v>
      </c>
      <c r="B107" s="95">
        <v>44243</v>
      </c>
      <c r="C107" s="95" t="str">
        <f t="shared" si="3"/>
        <v>Februar</v>
      </c>
      <c r="D107" s="100" t="str">
        <f t="shared" si="4"/>
        <v>KW7</v>
      </c>
      <c r="E107" s="100" t="str">
        <f t="shared" si="5"/>
        <v>16</v>
      </c>
      <c r="F107" t="s">
        <v>48</v>
      </c>
      <c r="G107">
        <v>8</v>
      </c>
      <c r="H107" t="s">
        <v>54</v>
      </c>
      <c r="I107" s="108" t="s">
        <v>50</v>
      </c>
    </row>
    <row r="108" spans="1:9">
      <c r="A108" t="s">
        <v>53</v>
      </c>
      <c r="B108" s="95">
        <v>44244</v>
      </c>
      <c r="C108" s="95" t="str">
        <f t="shared" si="3"/>
        <v>Februar</v>
      </c>
      <c r="D108" s="100" t="str">
        <f t="shared" si="4"/>
        <v>KW7</v>
      </c>
      <c r="E108" s="100" t="str">
        <f t="shared" si="5"/>
        <v>17</v>
      </c>
      <c r="F108" t="s">
        <v>48</v>
      </c>
      <c r="G108">
        <v>8</v>
      </c>
      <c r="H108" t="s">
        <v>54</v>
      </c>
      <c r="I108" s="108" t="s">
        <v>50</v>
      </c>
    </row>
    <row r="109" spans="1:9">
      <c r="A109" t="s">
        <v>53</v>
      </c>
      <c r="B109" s="95">
        <v>44245</v>
      </c>
      <c r="C109" s="95" t="str">
        <f t="shared" si="3"/>
        <v>Februar</v>
      </c>
      <c r="D109" s="100" t="str">
        <f t="shared" si="4"/>
        <v>KW7</v>
      </c>
      <c r="E109" s="100" t="str">
        <f t="shared" si="5"/>
        <v>18</v>
      </c>
      <c r="F109" t="s">
        <v>48</v>
      </c>
      <c r="G109">
        <v>8</v>
      </c>
      <c r="H109" t="s">
        <v>54</v>
      </c>
      <c r="I109" s="108" t="s">
        <v>50</v>
      </c>
    </row>
    <row r="110" spans="1:9">
      <c r="A110" t="s">
        <v>53</v>
      </c>
      <c r="B110" s="95">
        <v>44246</v>
      </c>
      <c r="C110" s="95" t="str">
        <f t="shared" si="3"/>
        <v>Februar</v>
      </c>
      <c r="D110" s="100" t="str">
        <f t="shared" si="4"/>
        <v>KW7</v>
      </c>
      <c r="E110" s="100" t="str">
        <f t="shared" si="5"/>
        <v>19</v>
      </c>
      <c r="F110" t="s">
        <v>48</v>
      </c>
      <c r="G110">
        <v>8</v>
      </c>
      <c r="H110" t="s">
        <v>54</v>
      </c>
      <c r="I110" s="108" t="s">
        <v>50</v>
      </c>
    </row>
    <row r="111" spans="1:9">
      <c r="A111" t="s">
        <v>53</v>
      </c>
      <c r="B111" s="95">
        <v>44247</v>
      </c>
      <c r="C111" s="95" t="str">
        <f t="shared" si="3"/>
        <v>Februar</v>
      </c>
      <c r="D111" s="100" t="str">
        <f t="shared" si="4"/>
        <v>KW7</v>
      </c>
      <c r="E111" s="100" t="str">
        <f t="shared" si="5"/>
        <v>20</v>
      </c>
      <c r="F111" t="s">
        <v>48</v>
      </c>
      <c r="G111">
        <v>8</v>
      </c>
      <c r="H111" t="s">
        <v>54</v>
      </c>
      <c r="I111" s="108" t="s">
        <v>50</v>
      </c>
    </row>
    <row r="112" spans="1:9">
      <c r="A112" t="s">
        <v>53</v>
      </c>
      <c r="B112" s="95">
        <v>44248</v>
      </c>
      <c r="C112" s="95" t="str">
        <f t="shared" si="3"/>
        <v>Februar</v>
      </c>
      <c r="D112" s="100" t="str">
        <f t="shared" si="4"/>
        <v>KW7</v>
      </c>
      <c r="E112" s="100" t="str">
        <f t="shared" si="5"/>
        <v>21</v>
      </c>
      <c r="F112" t="s">
        <v>48</v>
      </c>
      <c r="G112">
        <v>8</v>
      </c>
      <c r="H112" t="s">
        <v>54</v>
      </c>
      <c r="I112" s="108" t="s">
        <v>50</v>
      </c>
    </row>
    <row r="113" spans="1:9">
      <c r="A113" t="s">
        <v>53</v>
      </c>
      <c r="B113" s="95">
        <v>44249</v>
      </c>
      <c r="C113" s="95" t="str">
        <f t="shared" si="3"/>
        <v>Februar</v>
      </c>
      <c r="D113" s="100" t="str">
        <f t="shared" si="4"/>
        <v>KW8</v>
      </c>
      <c r="E113" s="100" t="str">
        <f t="shared" si="5"/>
        <v>22</v>
      </c>
      <c r="F113" t="s">
        <v>48</v>
      </c>
      <c r="G113">
        <v>8</v>
      </c>
      <c r="H113" t="s">
        <v>54</v>
      </c>
      <c r="I113" s="108" t="s">
        <v>50</v>
      </c>
    </row>
    <row r="114" spans="1:9">
      <c r="A114" t="s">
        <v>53</v>
      </c>
      <c r="B114" s="95">
        <v>44250</v>
      </c>
      <c r="C114" s="95" t="str">
        <f t="shared" si="3"/>
        <v>Februar</v>
      </c>
      <c r="D114" s="100" t="str">
        <f t="shared" si="4"/>
        <v>KW8</v>
      </c>
      <c r="E114" s="100" t="str">
        <f t="shared" si="5"/>
        <v>23</v>
      </c>
      <c r="F114" t="s">
        <v>48</v>
      </c>
      <c r="G114">
        <v>8</v>
      </c>
      <c r="H114" t="s">
        <v>54</v>
      </c>
      <c r="I114" s="108" t="s">
        <v>50</v>
      </c>
    </row>
    <row r="115" spans="1:9">
      <c r="A115" t="s">
        <v>53</v>
      </c>
      <c r="B115" s="95">
        <v>44251</v>
      </c>
      <c r="C115" s="95" t="str">
        <f t="shared" si="3"/>
        <v>Februar</v>
      </c>
      <c r="D115" s="100" t="str">
        <f t="shared" si="4"/>
        <v>KW8</v>
      </c>
      <c r="E115" s="100" t="str">
        <f t="shared" si="5"/>
        <v>24</v>
      </c>
      <c r="F115" t="s">
        <v>48</v>
      </c>
      <c r="G115">
        <v>8</v>
      </c>
      <c r="H115" t="s">
        <v>54</v>
      </c>
      <c r="I115" s="108" t="s">
        <v>50</v>
      </c>
    </row>
    <row r="116" spans="1:9">
      <c r="A116" t="s">
        <v>53</v>
      </c>
      <c r="B116" s="95">
        <v>44252</v>
      </c>
      <c r="C116" s="95" t="str">
        <f t="shared" si="3"/>
        <v>Februar</v>
      </c>
      <c r="D116" s="100" t="str">
        <f t="shared" si="4"/>
        <v>KW8</v>
      </c>
      <c r="E116" s="100" t="str">
        <f t="shared" si="5"/>
        <v>25</v>
      </c>
      <c r="F116" t="s">
        <v>48</v>
      </c>
      <c r="G116">
        <v>8</v>
      </c>
      <c r="H116" t="s">
        <v>54</v>
      </c>
      <c r="I116" s="108" t="s">
        <v>50</v>
      </c>
    </row>
    <row r="117" spans="1:9">
      <c r="A117" t="s">
        <v>53</v>
      </c>
      <c r="B117" s="95">
        <v>44253</v>
      </c>
      <c r="C117" s="95" t="str">
        <f t="shared" si="3"/>
        <v>Februar</v>
      </c>
      <c r="D117" s="100" t="str">
        <f t="shared" si="4"/>
        <v>KW8</v>
      </c>
      <c r="E117" s="100" t="str">
        <f t="shared" si="5"/>
        <v>26</v>
      </c>
      <c r="F117" t="s">
        <v>48</v>
      </c>
      <c r="G117">
        <v>8</v>
      </c>
      <c r="H117" t="s">
        <v>54</v>
      </c>
      <c r="I117" s="108" t="s">
        <v>50</v>
      </c>
    </row>
    <row r="118" spans="1:9">
      <c r="A118" t="s">
        <v>53</v>
      </c>
      <c r="B118" s="95">
        <v>44254</v>
      </c>
      <c r="C118" s="95" t="str">
        <f t="shared" si="3"/>
        <v>Februar</v>
      </c>
      <c r="D118" s="100" t="str">
        <f t="shared" si="4"/>
        <v>KW8</v>
      </c>
      <c r="E118" s="100" t="str">
        <f t="shared" si="5"/>
        <v>27</v>
      </c>
      <c r="F118" t="s">
        <v>48</v>
      </c>
      <c r="G118">
        <v>8</v>
      </c>
      <c r="H118" t="s">
        <v>54</v>
      </c>
      <c r="I118" s="108" t="s">
        <v>50</v>
      </c>
    </row>
    <row r="119" spans="1:9">
      <c r="A119" t="s">
        <v>53</v>
      </c>
      <c r="B119" s="95">
        <v>44255</v>
      </c>
      <c r="C119" s="95" t="str">
        <f t="shared" si="3"/>
        <v>Februar</v>
      </c>
      <c r="D119" s="100" t="str">
        <f t="shared" si="4"/>
        <v>KW8</v>
      </c>
      <c r="E119" s="100" t="str">
        <f t="shared" si="5"/>
        <v>28</v>
      </c>
      <c r="F119" t="s">
        <v>48</v>
      </c>
      <c r="G119">
        <v>8</v>
      </c>
      <c r="H119" t="s">
        <v>54</v>
      </c>
      <c r="I119" s="108" t="s">
        <v>50</v>
      </c>
    </row>
    <row r="120" spans="1:9">
      <c r="A120" t="s">
        <v>55</v>
      </c>
      <c r="B120" s="95">
        <v>44197</v>
      </c>
      <c r="C120" s="95" t="str">
        <f>TEXT(B120, "MMMM")</f>
        <v>Jänner</v>
      </c>
      <c r="D120" s="100" t="str">
        <f t="shared" si="4"/>
        <v>KW53</v>
      </c>
      <c r="E120" s="100" t="str">
        <f t="shared" si="5"/>
        <v>01</v>
      </c>
      <c r="F120" t="s">
        <v>48</v>
      </c>
      <c r="G120">
        <v>8</v>
      </c>
      <c r="H120" t="s">
        <v>54</v>
      </c>
      <c r="I120" s="108" t="s">
        <v>50</v>
      </c>
    </row>
    <row r="121" spans="1:9">
      <c r="A121" t="s">
        <v>55</v>
      </c>
      <c r="B121" s="95">
        <v>44198</v>
      </c>
      <c r="C121" s="95" t="str">
        <f t="shared" ref="C121:C178" si="6">TEXT(B121, "MMMM")</f>
        <v>Jänner</v>
      </c>
      <c r="D121" s="100" t="str">
        <f t="shared" si="4"/>
        <v>KW53</v>
      </c>
      <c r="E121" s="100" t="str">
        <f t="shared" si="5"/>
        <v>02</v>
      </c>
      <c r="F121" t="s">
        <v>48</v>
      </c>
      <c r="G121">
        <v>8</v>
      </c>
      <c r="H121" t="s">
        <v>54</v>
      </c>
      <c r="I121" s="108" t="s">
        <v>50</v>
      </c>
    </row>
    <row r="122" spans="1:9">
      <c r="A122" t="s">
        <v>55</v>
      </c>
      <c r="B122" s="95">
        <v>44199</v>
      </c>
      <c r="C122" s="95" t="str">
        <f t="shared" si="6"/>
        <v>Jänner</v>
      </c>
      <c r="D122" s="100" t="str">
        <f t="shared" si="4"/>
        <v>KW53</v>
      </c>
      <c r="E122" s="100" t="str">
        <f t="shared" si="5"/>
        <v>03</v>
      </c>
      <c r="F122" t="s">
        <v>48</v>
      </c>
      <c r="G122">
        <v>8</v>
      </c>
      <c r="H122" t="s">
        <v>54</v>
      </c>
      <c r="I122" s="108" t="s">
        <v>50</v>
      </c>
    </row>
    <row r="123" spans="1:9">
      <c r="A123" t="s">
        <v>55</v>
      </c>
      <c r="B123" s="95">
        <v>44200</v>
      </c>
      <c r="C123" s="95" t="str">
        <f t="shared" si="6"/>
        <v>Jänner</v>
      </c>
      <c r="D123" s="100" t="str">
        <f t="shared" si="4"/>
        <v>KW1</v>
      </c>
      <c r="E123" s="100" t="str">
        <f t="shared" si="5"/>
        <v>04</v>
      </c>
      <c r="F123" t="s">
        <v>48</v>
      </c>
      <c r="G123">
        <v>8</v>
      </c>
      <c r="H123" t="s">
        <v>54</v>
      </c>
      <c r="I123" s="108" t="s">
        <v>50</v>
      </c>
    </row>
    <row r="124" spans="1:9">
      <c r="A124" t="s">
        <v>55</v>
      </c>
      <c r="B124" s="95">
        <v>44201</v>
      </c>
      <c r="C124" s="95" t="str">
        <f t="shared" si="6"/>
        <v>Jänner</v>
      </c>
      <c r="D124" s="100" t="str">
        <f t="shared" si="4"/>
        <v>KW1</v>
      </c>
      <c r="E124" s="100" t="str">
        <f t="shared" si="5"/>
        <v>05</v>
      </c>
      <c r="F124" t="s">
        <v>48</v>
      </c>
      <c r="G124">
        <v>8</v>
      </c>
      <c r="H124" t="s">
        <v>54</v>
      </c>
      <c r="I124" s="108" t="s">
        <v>50</v>
      </c>
    </row>
    <row r="125" spans="1:9">
      <c r="A125" t="s">
        <v>55</v>
      </c>
      <c r="B125" s="95">
        <v>44202</v>
      </c>
      <c r="C125" s="95" t="str">
        <f t="shared" si="6"/>
        <v>Jänner</v>
      </c>
      <c r="D125" s="100" t="str">
        <f t="shared" si="4"/>
        <v>KW1</v>
      </c>
      <c r="E125" s="100" t="str">
        <f t="shared" si="5"/>
        <v>06</v>
      </c>
      <c r="F125" t="s">
        <v>48</v>
      </c>
      <c r="G125">
        <v>8</v>
      </c>
      <c r="H125" t="s">
        <v>54</v>
      </c>
      <c r="I125" s="108" t="s">
        <v>50</v>
      </c>
    </row>
    <row r="126" spans="1:9">
      <c r="A126" t="s">
        <v>55</v>
      </c>
      <c r="B126" s="95">
        <v>44203</v>
      </c>
      <c r="C126" s="95" t="str">
        <f t="shared" si="6"/>
        <v>Jänner</v>
      </c>
      <c r="D126" s="100" t="str">
        <f t="shared" si="4"/>
        <v>KW1</v>
      </c>
      <c r="E126" s="100" t="str">
        <f t="shared" si="5"/>
        <v>07</v>
      </c>
      <c r="F126" t="s">
        <v>48</v>
      </c>
      <c r="G126">
        <v>8</v>
      </c>
      <c r="H126" t="s">
        <v>54</v>
      </c>
      <c r="I126" s="108" t="s">
        <v>50</v>
      </c>
    </row>
    <row r="127" spans="1:9">
      <c r="A127" t="s">
        <v>55</v>
      </c>
      <c r="B127" s="95">
        <v>44204</v>
      </c>
      <c r="C127" s="95" t="str">
        <f t="shared" si="6"/>
        <v>Jänner</v>
      </c>
      <c r="D127" s="100" t="str">
        <f t="shared" si="4"/>
        <v>KW1</v>
      </c>
      <c r="E127" s="100" t="str">
        <f t="shared" si="5"/>
        <v>08</v>
      </c>
      <c r="F127" t="s">
        <v>48</v>
      </c>
      <c r="G127">
        <v>8</v>
      </c>
      <c r="H127" t="s">
        <v>54</v>
      </c>
      <c r="I127" s="108" t="s">
        <v>50</v>
      </c>
    </row>
    <row r="128" spans="1:9">
      <c r="A128" t="s">
        <v>55</v>
      </c>
      <c r="B128" s="95">
        <v>44205</v>
      </c>
      <c r="C128" s="95" t="str">
        <f t="shared" si="6"/>
        <v>Jänner</v>
      </c>
      <c r="D128" s="100" t="str">
        <f t="shared" si="4"/>
        <v>KW1</v>
      </c>
      <c r="E128" s="100" t="str">
        <f t="shared" si="5"/>
        <v>09</v>
      </c>
      <c r="F128" t="s">
        <v>48</v>
      </c>
      <c r="G128">
        <v>8</v>
      </c>
      <c r="H128" t="s">
        <v>54</v>
      </c>
      <c r="I128" s="108" t="s">
        <v>50</v>
      </c>
    </row>
    <row r="129" spans="1:9">
      <c r="A129" t="s">
        <v>55</v>
      </c>
      <c r="B129" s="95">
        <v>44206</v>
      </c>
      <c r="C129" s="95" t="str">
        <f t="shared" si="6"/>
        <v>Jänner</v>
      </c>
      <c r="D129" s="100" t="str">
        <f t="shared" si="4"/>
        <v>KW1</v>
      </c>
      <c r="E129" s="100" t="str">
        <f t="shared" si="5"/>
        <v>10</v>
      </c>
      <c r="F129" t="s">
        <v>48</v>
      </c>
      <c r="G129">
        <v>8</v>
      </c>
      <c r="H129" t="s">
        <v>54</v>
      </c>
      <c r="I129" s="108" t="s">
        <v>50</v>
      </c>
    </row>
    <row r="130" spans="1:9">
      <c r="A130" t="s">
        <v>55</v>
      </c>
      <c r="B130" s="95">
        <v>44207</v>
      </c>
      <c r="C130" s="95" t="str">
        <f t="shared" si="6"/>
        <v>Jänner</v>
      </c>
      <c r="D130" s="100" t="str">
        <f t="shared" si="4"/>
        <v>KW2</v>
      </c>
      <c r="E130" s="100" t="str">
        <f t="shared" si="5"/>
        <v>11</v>
      </c>
      <c r="F130" t="s">
        <v>52</v>
      </c>
      <c r="G130">
        <v>8</v>
      </c>
      <c r="H130" t="s">
        <v>54</v>
      </c>
      <c r="I130" s="108" t="s">
        <v>50</v>
      </c>
    </row>
    <row r="131" spans="1:9">
      <c r="A131" t="s">
        <v>55</v>
      </c>
      <c r="B131" s="95">
        <v>44208</v>
      </c>
      <c r="C131" s="95" t="str">
        <f t="shared" si="6"/>
        <v>Jänner</v>
      </c>
      <c r="D131" s="100" t="str">
        <f t="shared" ref="D131:D194" si="7">CONCATENATE("KW",WEEKNUM(B131,21))</f>
        <v>KW2</v>
      </c>
      <c r="E131" s="100" t="str">
        <f t="shared" ref="E131:E194" si="8">TEXT(DAY(B131),"TT")</f>
        <v>12</v>
      </c>
      <c r="F131" t="s">
        <v>52</v>
      </c>
      <c r="G131">
        <v>8</v>
      </c>
      <c r="H131" t="s">
        <v>54</v>
      </c>
      <c r="I131" s="108" t="s">
        <v>50</v>
      </c>
    </row>
    <row r="132" spans="1:9">
      <c r="A132" t="s">
        <v>55</v>
      </c>
      <c r="B132" s="95">
        <v>44209</v>
      </c>
      <c r="C132" s="95" t="str">
        <f t="shared" si="6"/>
        <v>Jänner</v>
      </c>
      <c r="D132" s="100" t="str">
        <f t="shared" si="7"/>
        <v>KW2</v>
      </c>
      <c r="E132" s="100" t="str">
        <f t="shared" si="8"/>
        <v>13</v>
      </c>
      <c r="F132" t="s">
        <v>52</v>
      </c>
      <c r="G132">
        <v>8</v>
      </c>
      <c r="H132" t="s">
        <v>54</v>
      </c>
      <c r="I132" s="108" t="s">
        <v>50</v>
      </c>
    </row>
    <row r="133" spans="1:9">
      <c r="A133" t="s">
        <v>55</v>
      </c>
      <c r="B133" s="95">
        <v>44210</v>
      </c>
      <c r="C133" s="95" t="str">
        <f t="shared" si="6"/>
        <v>Jänner</v>
      </c>
      <c r="D133" s="100" t="str">
        <f t="shared" si="7"/>
        <v>KW2</v>
      </c>
      <c r="E133" s="100" t="str">
        <f t="shared" si="8"/>
        <v>14</v>
      </c>
      <c r="F133" t="s">
        <v>52</v>
      </c>
      <c r="G133">
        <v>8</v>
      </c>
      <c r="H133" t="s">
        <v>54</v>
      </c>
      <c r="I133" s="108" t="s">
        <v>50</v>
      </c>
    </row>
    <row r="134" spans="1:9">
      <c r="A134" t="s">
        <v>55</v>
      </c>
      <c r="B134" s="95">
        <v>44211</v>
      </c>
      <c r="C134" s="95" t="str">
        <f t="shared" si="6"/>
        <v>Jänner</v>
      </c>
      <c r="D134" s="100" t="str">
        <f t="shared" si="7"/>
        <v>KW2</v>
      </c>
      <c r="E134" s="100" t="str">
        <f t="shared" si="8"/>
        <v>15</v>
      </c>
      <c r="F134" t="s">
        <v>48</v>
      </c>
      <c r="G134">
        <v>8</v>
      </c>
      <c r="H134" t="s">
        <v>54</v>
      </c>
      <c r="I134" s="108" t="s">
        <v>50</v>
      </c>
    </row>
    <row r="135" spans="1:9">
      <c r="A135" t="s">
        <v>55</v>
      </c>
      <c r="B135" s="95">
        <v>44212</v>
      </c>
      <c r="C135" s="95" t="str">
        <f t="shared" si="6"/>
        <v>Jänner</v>
      </c>
      <c r="D135" s="100" t="str">
        <f t="shared" si="7"/>
        <v>KW2</v>
      </c>
      <c r="E135" s="100" t="str">
        <f t="shared" si="8"/>
        <v>16</v>
      </c>
      <c r="F135" t="s">
        <v>48</v>
      </c>
      <c r="G135">
        <v>8</v>
      </c>
      <c r="H135" t="s">
        <v>54</v>
      </c>
      <c r="I135" s="108" t="s">
        <v>50</v>
      </c>
    </row>
    <row r="136" spans="1:9">
      <c r="A136" t="s">
        <v>55</v>
      </c>
      <c r="B136" s="95">
        <v>44213</v>
      </c>
      <c r="C136" s="95" t="str">
        <f t="shared" si="6"/>
        <v>Jänner</v>
      </c>
      <c r="D136" s="100" t="str">
        <f t="shared" si="7"/>
        <v>KW2</v>
      </c>
      <c r="E136" s="100" t="str">
        <f t="shared" si="8"/>
        <v>17</v>
      </c>
      <c r="F136" t="s">
        <v>48</v>
      </c>
      <c r="G136">
        <v>8</v>
      </c>
      <c r="H136" t="s">
        <v>54</v>
      </c>
      <c r="I136" s="108" t="s">
        <v>50</v>
      </c>
    </row>
    <row r="137" spans="1:9">
      <c r="A137" t="s">
        <v>55</v>
      </c>
      <c r="B137" s="95">
        <v>44214</v>
      </c>
      <c r="C137" s="95" t="str">
        <f t="shared" si="6"/>
        <v>Jänner</v>
      </c>
      <c r="D137" s="100" t="str">
        <f t="shared" si="7"/>
        <v>KW3</v>
      </c>
      <c r="E137" s="100" t="str">
        <f t="shared" si="8"/>
        <v>18</v>
      </c>
      <c r="F137" t="s">
        <v>48</v>
      </c>
      <c r="G137">
        <v>8</v>
      </c>
      <c r="H137" t="s">
        <v>54</v>
      </c>
      <c r="I137" s="108" t="s">
        <v>50</v>
      </c>
    </row>
    <row r="138" spans="1:9">
      <c r="A138" t="s">
        <v>55</v>
      </c>
      <c r="B138" s="95">
        <v>44215</v>
      </c>
      <c r="C138" s="95" t="str">
        <f t="shared" si="6"/>
        <v>Jänner</v>
      </c>
      <c r="D138" s="100" t="str">
        <f t="shared" si="7"/>
        <v>KW3</v>
      </c>
      <c r="E138" s="100" t="str">
        <f t="shared" si="8"/>
        <v>19</v>
      </c>
      <c r="F138" t="s">
        <v>48</v>
      </c>
      <c r="G138">
        <v>8</v>
      </c>
      <c r="H138" t="s">
        <v>54</v>
      </c>
      <c r="I138" s="108" t="s">
        <v>50</v>
      </c>
    </row>
    <row r="139" spans="1:9">
      <c r="A139" t="s">
        <v>55</v>
      </c>
      <c r="B139" s="95">
        <v>44216</v>
      </c>
      <c r="C139" s="95" t="str">
        <f t="shared" si="6"/>
        <v>Jänner</v>
      </c>
      <c r="D139" s="100" t="str">
        <f t="shared" si="7"/>
        <v>KW3</v>
      </c>
      <c r="E139" s="100" t="str">
        <f t="shared" si="8"/>
        <v>20</v>
      </c>
      <c r="F139" t="s">
        <v>48</v>
      </c>
      <c r="G139">
        <v>8</v>
      </c>
      <c r="H139" t="s">
        <v>54</v>
      </c>
      <c r="I139" s="108" t="s">
        <v>50</v>
      </c>
    </row>
    <row r="140" spans="1:9">
      <c r="A140" t="s">
        <v>55</v>
      </c>
      <c r="B140" s="95">
        <v>44217</v>
      </c>
      <c r="C140" s="95" t="str">
        <f t="shared" si="6"/>
        <v>Jänner</v>
      </c>
      <c r="D140" s="100" t="str">
        <f t="shared" si="7"/>
        <v>KW3</v>
      </c>
      <c r="E140" s="100" t="str">
        <f t="shared" si="8"/>
        <v>21</v>
      </c>
      <c r="F140" t="s">
        <v>48</v>
      </c>
      <c r="G140">
        <v>8</v>
      </c>
      <c r="H140" t="s">
        <v>54</v>
      </c>
      <c r="I140" s="108" t="s">
        <v>50</v>
      </c>
    </row>
    <row r="141" spans="1:9">
      <c r="A141" t="s">
        <v>55</v>
      </c>
      <c r="B141" s="95">
        <v>44218</v>
      </c>
      <c r="C141" s="95" t="str">
        <f t="shared" si="6"/>
        <v>Jänner</v>
      </c>
      <c r="D141" s="100" t="str">
        <f t="shared" si="7"/>
        <v>KW3</v>
      </c>
      <c r="E141" s="100" t="str">
        <f t="shared" si="8"/>
        <v>22</v>
      </c>
      <c r="F141" t="s">
        <v>48</v>
      </c>
      <c r="G141">
        <v>8</v>
      </c>
      <c r="H141" t="s">
        <v>54</v>
      </c>
      <c r="I141" s="108" t="s">
        <v>50</v>
      </c>
    </row>
    <row r="142" spans="1:9">
      <c r="A142" t="s">
        <v>55</v>
      </c>
      <c r="B142" s="95">
        <v>44219</v>
      </c>
      <c r="C142" s="95" t="str">
        <f t="shared" si="6"/>
        <v>Jänner</v>
      </c>
      <c r="D142" s="100" t="str">
        <f t="shared" si="7"/>
        <v>KW3</v>
      </c>
      <c r="E142" s="100" t="str">
        <f t="shared" si="8"/>
        <v>23</v>
      </c>
      <c r="F142" t="s">
        <v>48</v>
      </c>
      <c r="G142">
        <v>8</v>
      </c>
      <c r="H142" t="s">
        <v>54</v>
      </c>
      <c r="I142" s="108" t="s">
        <v>50</v>
      </c>
    </row>
    <row r="143" spans="1:9">
      <c r="A143" t="s">
        <v>55</v>
      </c>
      <c r="B143" s="95">
        <v>44220</v>
      </c>
      <c r="C143" s="95" t="str">
        <f t="shared" si="6"/>
        <v>Jänner</v>
      </c>
      <c r="D143" s="100" t="str">
        <f t="shared" si="7"/>
        <v>KW3</v>
      </c>
      <c r="E143" s="100" t="str">
        <f t="shared" si="8"/>
        <v>24</v>
      </c>
      <c r="F143" t="s">
        <v>48</v>
      </c>
      <c r="G143">
        <v>8</v>
      </c>
      <c r="H143" t="s">
        <v>54</v>
      </c>
      <c r="I143" s="108" t="s">
        <v>50</v>
      </c>
    </row>
    <row r="144" spans="1:9">
      <c r="A144" t="s">
        <v>55</v>
      </c>
      <c r="B144" s="95">
        <v>44221</v>
      </c>
      <c r="C144" s="95" t="str">
        <f t="shared" si="6"/>
        <v>Jänner</v>
      </c>
      <c r="D144" s="100" t="str">
        <f t="shared" si="7"/>
        <v>KW4</v>
      </c>
      <c r="E144" s="100" t="str">
        <f t="shared" si="8"/>
        <v>25</v>
      </c>
      <c r="F144" t="s">
        <v>48</v>
      </c>
      <c r="G144">
        <v>8</v>
      </c>
      <c r="H144" t="s">
        <v>54</v>
      </c>
      <c r="I144" s="108" t="s">
        <v>50</v>
      </c>
    </row>
    <row r="145" spans="1:9">
      <c r="A145" t="s">
        <v>55</v>
      </c>
      <c r="B145" s="95">
        <v>44222</v>
      </c>
      <c r="C145" s="95" t="str">
        <f t="shared" si="6"/>
        <v>Jänner</v>
      </c>
      <c r="D145" s="100" t="str">
        <f t="shared" si="7"/>
        <v>KW4</v>
      </c>
      <c r="E145" s="100" t="str">
        <f t="shared" si="8"/>
        <v>26</v>
      </c>
      <c r="F145" t="s">
        <v>48</v>
      </c>
      <c r="G145">
        <v>8</v>
      </c>
      <c r="H145" t="s">
        <v>54</v>
      </c>
      <c r="I145" s="108" t="s">
        <v>50</v>
      </c>
    </row>
    <row r="146" spans="1:9">
      <c r="A146" t="s">
        <v>55</v>
      </c>
      <c r="B146" s="95">
        <v>44223</v>
      </c>
      <c r="C146" s="95" t="str">
        <f t="shared" si="6"/>
        <v>Jänner</v>
      </c>
      <c r="D146" s="100" t="str">
        <f t="shared" si="7"/>
        <v>KW4</v>
      </c>
      <c r="E146" s="100" t="str">
        <f t="shared" si="8"/>
        <v>27</v>
      </c>
      <c r="F146" t="s">
        <v>48</v>
      </c>
      <c r="G146">
        <v>8</v>
      </c>
      <c r="H146" t="s">
        <v>54</v>
      </c>
      <c r="I146" s="108" t="s">
        <v>50</v>
      </c>
    </row>
    <row r="147" spans="1:9">
      <c r="A147" t="s">
        <v>55</v>
      </c>
      <c r="B147" s="95">
        <v>44224</v>
      </c>
      <c r="C147" s="95" t="str">
        <f t="shared" si="6"/>
        <v>Jänner</v>
      </c>
      <c r="D147" s="100" t="str">
        <f t="shared" si="7"/>
        <v>KW4</v>
      </c>
      <c r="E147" s="100" t="str">
        <f t="shared" si="8"/>
        <v>28</v>
      </c>
      <c r="F147" t="s">
        <v>48</v>
      </c>
      <c r="G147">
        <v>8</v>
      </c>
      <c r="H147" t="s">
        <v>54</v>
      </c>
      <c r="I147" s="108" t="s">
        <v>50</v>
      </c>
    </row>
    <row r="148" spans="1:9">
      <c r="A148" t="s">
        <v>55</v>
      </c>
      <c r="B148" s="95">
        <v>44225</v>
      </c>
      <c r="C148" s="95" t="str">
        <f t="shared" si="6"/>
        <v>Jänner</v>
      </c>
      <c r="D148" s="100" t="str">
        <f t="shared" si="7"/>
        <v>KW4</v>
      </c>
      <c r="E148" s="100" t="str">
        <f t="shared" si="8"/>
        <v>29</v>
      </c>
      <c r="F148" t="s">
        <v>48</v>
      </c>
      <c r="G148">
        <v>8</v>
      </c>
      <c r="H148" t="s">
        <v>54</v>
      </c>
      <c r="I148" s="108" t="s">
        <v>50</v>
      </c>
    </row>
    <row r="149" spans="1:9">
      <c r="A149" t="s">
        <v>55</v>
      </c>
      <c r="B149" s="95">
        <v>44226</v>
      </c>
      <c r="C149" s="95" t="str">
        <f t="shared" si="6"/>
        <v>Jänner</v>
      </c>
      <c r="D149" s="100" t="str">
        <f t="shared" si="7"/>
        <v>KW4</v>
      </c>
      <c r="E149" s="100" t="str">
        <f t="shared" si="8"/>
        <v>30</v>
      </c>
      <c r="F149" t="s">
        <v>48</v>
      </c>
      <c r="G149">
        <v>8</v>
      </c>
      <c r="H149" t="s">
        <v>54</v>
      </c>
      <c r="I149" s="108" t="s">
        <v>50</v>
      </c>
    </row>
    <row r="150" spans="1:9">
      <c r="A150" t="s">
        <v>55</v>
      </c>
      <c r="B150" s="95">
        <v>44227</v>
      </c>
      <c r="C150" s="95" t="str">
        <f t="shared" si="6"/>
        <v>Jänner</v>
      </c>
      <c r="D150" s="100" t="str">
        <f t="shared" si="7"/>
        <v>KW4</v>
      </c>
      <c r="E150" s="100" t="str">
        <f t="shared" si="8"/>
        <v>31</v>
      </c>
      <c r="F150" t="s">
        <v>48</v>
      </c>
      <c r="G150">
        <v>8</v>
      </c>
      <c r="H150" t="s">
        <v>54</v>
      </c>
      <c r="I150" s="108" t="s">
        <v>50</v>
      </c>
    </row>
    <row r="151" spans="1:9">
      <c r="A151" t="s">
        <v>55</v>
      </c>
      <c r="B151" s="95">
        <v>44228</v>
      </c>
      <c r="C151" s="95" t="str">
        <f t="shared" si="6"/>
        <v>Februar</v>
      </c>
      <c r="D151" s="100" t="str">
        <f t="shared" si="7"/>
        <v>KW5</v>
      </c>
      <c r="E151" s="100" t="str">
        <f t="shared" si="8"/>
        <v>01</v>
      </c>
      <c r="F151" t="s">
        <v>48</v>
      </c>
      <c r="G151">
        <v>8</v>
      </c>
      <c r="H151" t="s">
        <v>54</v>
      </c>
      <c r="I151" s="108" t="s">
        <v>50</v>
      </c>
    </row>
    <row r="152" spans="1:9">
      <c r="A152" t="s">
        <v>55</v>
      </c>
      <c r="B152" s="95">
        <v>44229</v>
      </c>
      <c r="C152" s="95" t="str">
        <f t="shared" si="6"/>
        <v>Februar</v>
      </c>
      <c r="D152" s="100" t="str">
        <f t="shared" si="7"/>
        <v>KW5</v>
      </c>
      <c r="E152" s="100" t="str">
        <f t="shared" si="8"/>
        <v>02</v>
      </c>
      <c r="F152" t="s">
        <v>48</v>
      </c>
      <c r="G152">
        <v>8</v>
      </c>
      <c r="H152" t="s">
        <v>54</v>
      </c>
      <c r="I152" s="108" t="s">
        <v>50</v>
      </c>
    </row>
    <row r="153" spans="1:9">
      <c r="A153" t="s">
        <v>55</v>
      </c>
      <c r="B153" s="95">
        <v>44230</v>
      </c>
      <c r="C153" s="95" t="str">
        <f t="shared" si="6"/>
        <v>Februar</v>
      </c>
      <c r="D153" s="100" t="str">
        <f t="shared" si="7"/>
        <v>KW5</v>
      </c>
      <c r="E153" s="100" t="str">
        <f t="shared" si="8"/>
        <v>03</v>
      </c>
      <c r="F153" t="s">
        <v>48</v>
      </c>
      <c r="G153">
        <v>8</v>
      </c>
      <c r="H153" t="s">
        <v>54</v>
      </c>
      <c r="I153" s="108" t="s">
        <v>50</v>
      </c>
    </row>
    <row r="154" spans="1:9">
      <c r="A154" t="s">
        <v>55</v>
      </c>
      <c r="B154" s="95">
        <v>44231</v>
      </c>
      <c r="C154" s="95" t="str">
        <f t="shared" si="6"/>
        <v>Februar</v>
      </c>
      <c r="D154" s="100" t="str">
        <f t="shared" si="7"/>
        <v>KW5</v>
      </c>
      <c r="E154" s="100" t="str">
        <f t="shared" si="8"/>
        <v>04</v>
      </c>
      <c r="F154" t="s">
        <v>48</v>
      </c>
      <c r="G154">
        <v>8</v>
      </c>
      <c r="H154" t="s">
        <v>54</v>
      </c>
      <c r="I154" s="108" t="s">
        <v>50</v>
      </c>
    </row>
    <row r="155" spans="1:9">
      <c r="A155" t="s">
        <v>55</v>
      </c>
      <c r="B155" s="95">
        <v>44232</v>
      </c>
      <c r="C155" s="95" t="str">
        <f t="shared" si="6"/>
        <v>Februar</v>
      </c>
      <c r="D155" s="100" t="str">
        <f t="shared" si="7"/>
        <v>KW5</v>
      </c>
      <c r="E155" s="100" t="str">
        <f t="shared" si="8"/>
        <v>05</v>
      </c>
      <c r="F155" t="s">
        <v>48</v>
      </c>
      <c r="G155">
        <v>8</v>
      </c>
      <c r="H155" t="s">
        <v>54</v>
      </c>
      <c r="I155" s="108" t="s">
        <v>50</v>
      </c>
    </row>
    <row r="156" spans="1:9">
      <c r="A156" t="s">
        <v>55</v>
      </c>
      <c r="B156" s="95">
        <v>44233</v>
      </c>
      <c r="C156" s="95" t="str">
        <f t="shared" si="6"/>
        <v>Februar</v>
      </c>
      <c r="D156" s="100" t="str">
        <f t="shared" si="7"/>
        <v>KW5</v>
      </c>
      <c r="E156" s="100" t="str">
        <f t="shared" si="8"/>
        <v>06</v>
      </c>
      <c r="F156" t="s">
        <v>48</v>
      </c>
      <c r="G156">
        <v>8</v>
      </c>
      <c r="H156" t="s">
        <v>54</v>
      </c>
      <c r="I156" s="108" t="s">
        <v>50</v>
      </c>
    </row>
    <row r="157" spans="1:9">
      <c r="A157" t="s">
        <v>55</v>
      </c>
      <c r="B157" s="95">
        <v>44234</v>
      </c>
      <c r="C157" s="95" t="str">
        <f t="shared" si="6"/>
        <v>Februar</v>
      </c>
      <c r="D157" s="100" t="str">
        <f t="shared" si="7"/>
        <v>KW5</v>
      </c>
      <c r="E157" s="100" t="str">
        <f t="shared" si="8"/>
        <v>07</v>
      </c>
      <c r="F157" t="s">
        <v>48</v>
      </c>
      <c r="G157">
        <v>8</v>
      </c>
      <c r="H157" t="s">
        <v>54</v>
      </c>
      <c r="I157" s="108" t="s">
        <v>50</v>
      </c>
    </row>
    <row r="158" spans="1:9">
      <c r="A158" t="s">
        <v>55</v>
      </c>
      <c r="B158" s="95">
        <v>44235</v>
      </c>
      <c r="C158" s="95" t="str">
        <f t="shared" si="6"/>
        <v>Februar</v>
      </c>
      <c r="D158" s="100" t="str">
        <f t="shared" si="7"/>
        <v>KW6</v>
      </c>
      <c r="E158" s="100" t="str">
        <f t="shared" si="8"/>
        <v>08</v>
      </c>
      <c r="F158" t="s">
        <v>48</v>
      </c>
      <c r="G158">
        <v>8</v>
      </c>
      <c r="H158" t="s">
        <v>54</v>
      </c>
      <c r="I158" s="108" t="s">
        <v>50</v>
      </c>
    </row>
    <row r="159" spans="1:9">
      <c r="A159" t="s">
        <v>55</v>
      </c>
      <c r="B159" s="95">
        <v>44236</v>
      </c>
      <c r="C159" s="95" t="str">
        <f t="shared" si="6"/>
        <v>Februar</v>
      </c>
      <c r="D159" s="100" t="str">
        <f t="shared" si="7"/>
        <v>KW6</v>
      </c>
      <c r="E159" s="100" t="str">
        <f t="shared" si="8"/>
        <v>09</v>
      </c>
      <c r="F159" t="s">
        <v>48</v>
      </c>
      <c r="G159">
        <v>8</v>
      </c>
      <c r="H159" t="s">
        <v>54</v>
      </c>
      <c r="I159" s="108" t="s">
        <v>50</v>
      </c>
    </row>
    <row r="160" spans="1:9">
      <c r="A160" t="s">
        <v>55</v>
      </c>
      <c r="B160" s="95">
        <v>44237</v>
      </c>
      <c r="C160" s="95" t="str">
        <f t="shared" si="6"/>
        <v>Februar</v>
      </c>
      <c r="D160" s="100" t="str">
        <f t="shared" si="7"/>
        <v>KW6</v>
      </c>
      <c r="E160" s="100" t="str">
        <f t="shared" si="8"/>
        <v>10</v>
      </c>
      <c r="F160" t="s">
        <v>48</v>
      </c>
      <c r="G160">
        <v>8</v>
      </c>
      <c r="H160" t="s">
        <v>54</v>
      </c>
      <c r="I160" s="108" t="s">
        <v>50</v>
      </c>
    </row>
    <row r="161" spans="1:9">
      <c r="A161" t="s">
        <v>55</v>
      </c>
      <c r="B161" s="95">
        <v>44238</v>
      </c>
      <c r="C161" s="95" t="str">
        <f t="shared" si="6"/>
        <v>Februar</v>
      </c>
      <c r="D161" s="100" t="str">
        <f t="shared" si="7"/>
        <v>KW6</v>
      </c>
      <c r="E161" s="100" t="str">
        <f t="shared" si="8"/>
        <v>11</v>
      </c>
      <c r="F161" t="s">
        <v>48</v>
      </c>
      <c r="G161">
        <v>8</v>
      </c>
      <c r="H161" t="s">
        <v>54</v>
      </c>
      <c r="I161" s="108" t="s">
        <v>50</v>
      </c>
    </row>
    <row r="162" spans="1:9">
      <c r="A162" t="s">
        <v>55</v>
      </c>
      <c r="B162" s="95">
        <v>44239</v>
      </c>
      <c r="C162" s="95" t="str">
        <f t="shared" si="6"/>
        <v>Februar</v>
      </c>
      <c r="D162" s="100" t="str">
        <f t="shared" si="7"/>
        <v>KW6</v>
      </c>
      <c r="E162" s="100" t="str">
        <f t="shared" si="8"/>
        <v>12</v>
      </c>
      <c r="F162" t="s">
        <v>48</v>
      </c>
      <c r="G162">
        <v>8</v>
      </c>
      <c r="H162" t="s">
        <v>54</v>
      </c>
      <c r="I162" s="108" t="s">
        <v>50</v>
      </c>
    </row>
    <row r="163" spans="1:9">
      <c r="A163" t="s">
        <v>55</v>
      </c>
      <c r="B163" s="95">
        <v>44240</v>
      </c>
      <c r="C163" s="95" t="str">
        <f t="shared" si="6"/>
        <v>Februar</v>
      </c>
      <c r="D163" s="100" t="str">
        <f t="shared" si="7"/>
        <v>KW6</v>
      </c>
      <c r="E163" s="100" t="str">
        <f t="shared" si="8"/>
        <v>13</v>
      </c>
      <c r="F163" t="s">
        <v>48</v>
      </c>
      <c r="G163">
        <v>8</v>
      </c>
      <c r="H163" t="s">
        <v>54</v>
      </c>
      <c r="I163" s="108" t="s">
        <v>50</v>
      </c>
    </row>
    <row r="164" spans="1:9">
      <c r="A164" t="s">
        <v>55</v>
      </c>
      <c r="B164" s="95">
        <v>44241</v>
      </c>
      <c r="C164" s="95" t="str">
        <f t="shared" si="6"/>
        <v>Februar</v>
      </c>
      <c r="D164" s="100" t="str">
        <f t="shared" si="7"/>
        <v>KW6</v>
      </c>
      <c r="E164" s="100" t="str">
        <f t="shared" si="8"/>
        <v>14</v>
      </c>
      <c r="F164" t="s">
        <v>46</v>
      </c>
      <c r="G164">
        <v>8</v>
      </c>
      <c r="H164" t="s">
        <v>54</v>
      </c>
      <c r="I164" s="108" t="s">
        <v>51</v>
      </c>
    </row>
    <row r="165" spans="1:9">
      <c r="A165" t="s">
        <v>55</v>
      </c>
      <c r="B165" s="95">
        <v>44242</v>
      </c>
      <c r="C165" s="95" t="str">
        <f t="shared" si="6"/>
        <v>Februar</v>
      </c>
      <c r="D165" s="100" t="str">
        <f t="shared" si="7"/>
        <v>KW7</v>
      </c>
      <c r="E165" s="100" t="str">
        <f t="shared" si="8"/>
        <v>15</v>
      </c>
      <c r="F165" t="s">
        <v>46</v>
      </c>
      <c r="G165">
        <v>8</v>
      </c>
      <c r="H165" t="s">
        <v>54</v>
      </c>
      <c r="I165" s="108" t="s">
        <v>51</v>
      </c>
    </row>
    <row r="166" spans="1:9">
      <c r="A166" t="s">
        <v>55</v>
      </c>
      <c r="B166" s="95">
        <v>44243</v>
      </c>
      <c r="C166" s="95" t="str">
        <f t="shared" si="6"/>
        <v>Februar</v>
      </c>
      <c r="D166" s="100" t="str">
        <f t="shared" si="7"/>
        <v>KW7</v>
      </c>
      <c r="E166" s="100" t="str">
        <f t="shared" si="8"/>
        <v>16</v>
      </c>
      <c r="F166" t="s">
        <v>46</v>
      </c>
      <c r="G166">
        <v>8</v>
      </c>
      <c r="H166" t="s">
        <v>54</v>
      </c>
      <c r="I166" s="108" t="s">
        <v>51</v>
      </c>
    </row>
    <row r="167" spans="1:9">
      <c r="A167" t="s">
        <v>55</v>
      </c>
      <c r="B167" s="95">
        <v>44244</v>
      </c>
      <c r="C167" s="95" t="str">
        <f t="shared" si="6"/>
        <v>Februar</v>
      </c>
      <c r="D167" s="100" t="str">
        <f t="shared" si="7"/>
        <v>KW7</v>
      </c>
      <c r="E167" s="100" t="str">
        <f t="shared" si="8"/>
        <v>17</v>
      </c>
      <c r="F167" t="s">
        <v>46</v>
      </c>
      <c r="G167">
        <v>8</v>
      </c>
      <c r="H167" t="s">
        <v>54</v>
      </c>
      <c r="I167" s="108" t="s">
        <v>51</v>
      </c>
    </row>
    <row r="168" spans="1:9">
      <c r="A168" t="s">
        <v>55</v>
      </c>
      <c r="B168" s="95">
        <v>44245</v>
      </c>
      <c r="C168" s="95" t="str">
        <f t="shared" si="6"/>
        <v>Februar</v>
      </c>
      <c r="D168" s="100" t="str">
        <f t="shared" si="7"/>
        <v>KW7</v>
      </c>
      <c r="E168" s="100" t="str">
        <f t="shared" si="8"/>
        <v>18</v>
      </c>
      <c r="F168" t="s">
        <v>46</v>
      </c>
      <c r="G168">
        <v>8</v>
      </c>
      <c r="H168" t="s">
        <v>54</v>
      </c>
      <c r="I168" s="108" t="s">
        <v>51</v>
      </c>
    </row>
    <row r="169" spans="1:9">
      <c r="A169" t="s">
        <v>55</v>
      </c>
      <c r="B169" s="95">
        <v>44246</v>
      </c>
      <c r="C169" s="95" t="str">
        <f t="shared" si="6"/>
        <v>Februar</v>
      </c>
      <c r="D169" s="100" t="str">
        <f t="shared" si="7"/>
        <v>KW7</v>
      </c>
      <c r="E169" s="100" t="str">
        <f t="shared" si="8"/>
        <v>19</v>
      </c>
      <c r="F169" t="s">
        <v>46</v>
      </c>
      <c r="G169">
        <v>8</v>
      </c>
      <c r="H169" t="s">
        <v>54</v>
      </c>
      <c r="I169" s="108" t="s">
        <v>51</v>
      </c>
    </row>
    <row r="170" spans="1:9">
      <c r="A170" t="s">
        <v>55</v>
      </c>
      <c r="B170" s="95">
        <v>44247</v>
      </c>
      <c r="C170" s="95" t="str">
        <f t="shared" si="6"/>
        <v>Februar</v>
      </c>
      <c r="D170" s="100" t="str">
        <f t="shared" si="7"/>
        <v>KW7</v>
      </c>
      <c r="E170" s="100" t="str">
        <f t="shared" si="8"/>
        <v>20</v>
      </c>
      <c r="F170" t="s">
        <v>46</v>
      </c>
      <c r="G170">
        <v>8</v>
      </c>
      <c r="H170" t="s">
        <v>54</v>
      </c>
      <c r="I170" s="108" t="s">
        <v>51</v>
      </c>
    </row>
    <row r="171" spans="1:9">
      <c r="A171" t="s">
        <v>55</v>
      </c>
      <c r="B171" s="95">
        <v>44248</v>
      </c>
      <c r="C171" s="95" t="str">
        <f t="shared" si="6"/>
        <v>Februar</v>
      </c>
      <c r="D171" s="100" t="str">
        <f t="shared" si="7"/>
        <v>KW7</v>
      </c>
      <c r="E171" s="100" t="str">
        <f t="shared" si="8"/>
        <v>21</v>
      </c>
      <c r="F171" t="s">
        <v>46</v>
      </c>
      <c r="G171">
        <v>8</v>
      </c>
      <c r="H171" t="s">
        <v>54</v>
      </c>
      <c r="I171" s="108" t="s">
        <v>51</v>
      </c>
    </row>
    <row r="172" spans="1:9">
      <c r="A172" t="s">
        <v>55</v>
      </c>
      <c r="B172" s="95">
        <v>44249</v>
      </c>
      <c r="C172" s="95" t="str">
        <f t="shared" si="6"/>
        <v>Februar</v>
      </c>
      <c r="D172" s="100" t="str">
        <f t="shared" si="7"/>
        <v>KW8</v>
      </c>
      <c r="E172" s="100" t="str">
        <f t="shared" si="8"/>
        <v>22</v>
      </c>
      <c r="F172" t="s">
        <v>48</v>
      </c>
      <c r="G172">
        <v>8</v>
      </c>
      <c r="H172" t="s">
        <v>54</v>
      </c>
      <c r="I172" s="108" t="s">
        <v>50</v>
      </c>
    </row>
    <row r="173" spans="1:9">
      <c r="A173" t="s">
        <v>55</v>
      </c>
      <c r="B173" s="95">
        <v>44250</v>
      </c>
      <c r="C173" s="95" t="str">
        <f t="shared" si="6"/>
        <v>Februar</v>
      </c>
      <c r="D173" s="100" t="str">
        <f t="shared" si="7"/>
        <v>KW8</v>
      </c>
      <c r="E173" s="100" t="str">
        <f t="shared" si="8"/>
        <v>23</v>
      </c>
      <c r="F173" t="s">
        <v>48</v>
      </c>
      <c r="G173">
        <v>8</v>
      </c>
      <c r="H173" t="s">
        <v>54</v>
      </c>
      <c r="I173" s="108" t="s">
        <v>50</v>
      </c>
    </row>
    <row r="174" spans="1:9">
      <c r="A174" t="s">
        <v>55</v>
      </c>
      <c r="B174" s="95">
        <v>44251</v>
      </c>
      <c r="C174" s="95" t="str">
        <f t="shared" si="6"/>
        <v>Februar</v>
      </c>
      <c r="D174" s="100" t="str">
        <f t="shared" si="7"/>
        <v>KW8</v>
      </c>
      <c r="E174" s="100" t="str">
        <f t="shared" si="8"/>
        <v>24</v>
      </c>
      <c r="F174" t="s">
        <v>48</v>
      </c>
      <c r="G174">
        <v>8</v>
      </c>
      <c r="H174" t="s">
        <v>54</v>
      </c>
      <c r="I174" s="108" t="s">
        <v>50</v>
      </c>
    </row>
    <row r="175" spans="1:9">
      <c r="A175" t="s">
        <v>55</v>
      </c>
      <c r="B175" s="95">
        <v>44252</v>
      </c>
      <c r="C175" s="95" t="str">
        <f t="shared" si="6"/>
        <v>Februar</v>
      </c>
      <c r="D175" s="100" t="str">
        <f t="shared" si="7"/>
        <v>KW8</v>
      </c>
      <c r="E175" s="100" t="str">
        <f t="shared" si="8"/>
        <v>25</v>
      </c>
      <c r="F175" t="s">
        <v>48</v>
      </c>
      <c r="G175">
        <v>8</v>
      </c>
      <c r="H175" t="s">
        <v>54</v>
      </c>
      <c r="I175" s="108" t="s">
        <v>50</v>
      </c>
    </row>
    <row r="176" spans="1:9">
      <c r="A176" t="s">
        <v>55</v>
      </c>
      <c r="B176" s="95">
        <v>44253</v>
      </c>
      <c r="C176" s="95" t="str">
        <f t="shared" si="6"/>
        <v>Februar</v>
      </c>
      <c r="D176" s="100" t="str">
        <f t="shared" si="7"/>
        <v>KW8</v>
      </c>
      <c r="E176" s="100" t="str">
        <f t="shared" si="8"/>
        <v>26</v>
      </c>
      <c r="F176" t="s">
        <v>48</v>
      </c>
      <c r="G176">
        <v>8</v>
      </c>
      <c r="H176" t="s">
        <v>54</v>
      </c>
      <c r="I176" s="108" t="s">
        <v>50</v>
      </c>
    </row>
    <row r="177" spans="1:9">
      <c r="A177" t="s">
        <v>55</v>
      </c>
      <c r="B177" s="95">
        <v>44254</v>
      </c>
      <c r="C177" s="95" t="str">
        <f t="shared" si="6"/>
        <v>Februar</v>
      </c>
      <c r="D177" s="100" t="str">
        <f t="shared" si="7"/>
        <v>KW8</v>
      </c>
      <c r="E177" s="100" t="str">
        <f t="shared" si="8"/>
        <v>27</v>
      </c>
      <c r="F177" t="s">
        <v>48</v>
      </c>
      <c r="G177">
        <v>8</v>
      </c>
      <c r="H177" t="s">
        <v>54</v>
      </c>
      <c r="I177" s="108" t="s">
        <v>50</v>
      </c>
    </row>
    <row r="178" spans="1:9">
      <c r="A178" t="s">
        <v>55</v>
      </c>
      <c r="B178" s="95">
        <v>44255</v>
      </c>
      <c r="C178" s="95" t="str">
        <f t="shared" si="6"/>
        <v>Februar</v>
      </c>
      <c r="D178" s="100" t="str">
        <f t="shared" si="7"/>
        <v>KW8</v>
      </c>
      <c r="E178" s="100" t="str">
        <f t="shared" si="8"/>
        <v>28</v>
      </c>
      <c r="F178" t="s">
        <v>48</v>
      </c>
      <c r="G178">
        <v>8</v>
      </c>
      <c r="H178" t="s">
        <v>54</v>
      </c>
      <c r="I178" s="108" t="s">
        <v>50</v>
      </c>
    </row>
    <row r="179" spans="1:9">
      <c r="A179" t="s">
        <v>56</v>
      </c>
      <c r="B179" s="95">
        <v>44197</v>
      </c>
      <c r="C179" s="95" t="str">
        <f>TEXT(B179, "MMMM")</f>
        <v>Jänner</v>
      </c>
      <c r="D179" s="100" t="str">
        <f t="shared" si="7"/>
        <v>KW53</v>
      </c>
      <c r="E179" s="100" t="str">
        <f t="shared" si="8"/>
        <v>01</v>
      </c>
      <c r="F179" t="s">
        <v>48</v>
      </c>
      <c r="G179" s="96">
        <v>8</v>
      </c>
      <c r="H179" t="s">
        <v>57</v>
      </c>
      <c r="I179" s="108" t="s">
        <v>50</v>
      </c>
    </row>
    <row r="180" spans="1:9">
      <c r="A180" t="s">
        <v>56</v>
      </c>
      <c r="B180" s="95">
        <v>44198</v>
      </c>
      <c r="C180" s="95" t="str">
        <f t="shared" ref="C180:C236" si="9">TEXT(B180, "MMMM")</f>
        <v>Jänner</v>
      </c>
      <c r="D180" s="100" t="str">
        <f t="shared" si="7"/>
        <v>KW53</v>
      </c>
      <c r="E180" s="100" t="str">
        <f t="shared" si="8"/>
        <v>02</v>
      </c>
      <c r="F180" t="s">
        <v>48</v>
      </c>
      <c r="G180">
        <v>8</v>
      </c>
      <c r="H180" t="s">
        <v>57</v>
      </c>
      <c r="I180" s="108" t="s">
        <v>50</v>
      </c>
    </row>
    <row r="181" spans="1:9">
      <c r="A181" t="s">
        <v>56</v>
      </c>
      <c r="B181" s="95">
        <v>44199</v>
      </c>
      <c r="C181" s="95" t="str">
        <f t="shared" si="9"/>
        <v>Jänner</v>
      </c>
      <c r="D181" s="100" t="str">
        <f t="shared" si="7"/>
        <v>KW53</v>
      </c>
      <c r="E181" s="100" t="str">
        <f t="shared" si="8"/>
        <v>03</v>
      </c>
      <c r="F181" t="s">
        <v>48</v>
      </c>
      <c r="G181">
        <v>8</v>
      </c>
      <c r="H181" t="s">
        <v>57</v>
      </c>
      <c r="I181" s="108" t="s">
        <v>50</v>
      </c>
    </row>
    <row r="182" spans="1:9">
      <c r="A182" t="s">
        <v>56</v>
      </c>
      <c r="B182" s="95">
        <v>44200</v>
      </c>
      <c r="C182" s="95" t="str">
        <f t="shared" si="9"/>
        <v>Jänner</v>
      </c>
      <c r="D182" s="100" t="str">
        <f t="shared" si="7"/>
        <v>KW1</v>
      </c>
      <c r="E182" s="100" t="str">
        <f t="shared" si="8"/>
        <v>04</v>
      </c>
      <c r="F182" t="s">
        <v>48</v>
      </c>
      <c r="G182">
        <v>8</v>
      </c>
      <c r="H182" t="s">
        <v>57</v>
      </c>
      <c r="I182" s="108" t="s">
        <v>50</v>
      </c>
    </row>
    <row r="183" spans="1:9">
      <c r="A183" t="s">
        <v>56</v>
      </c>
      <c r="B183" s="95">
        <v>44201</v>
      </c>
      <c r="C183" s="95" t="str">
        <f t="shared" si="9"/>
        <v>Jänner</v>
      </c>
      <c r="D183" s="100" t="str">
        <f t="shared" si="7"/>
        <v>KW1</v>
      </c>
      <c r="E183" s="100" t="str">
        <f t="shared" si="8"/>
        <v>05</v>
      </c>
      <c r="F183" t="s">
        <v>52</v>
      </c>
      <c r="G183">
        <v>8</v>
      </c>
      <c r="H183" t="s">
        <v>57</v>
      </c>
      <c r="I183" s="108" t="s">
        <v>50</v>
      </c>
    </row>
    <row r="184" spans="1:9">
      <c r="A184" t="s">
        <v>56</v>
      </c>
      <c r="B184" s="95">
        <v>44202</v>
      </c>
      <c r="C184" s="95" t="str">
        <f t="shared" si="9"/>
        <v>Jänner</v>
      </c>
      <c r="D184" s="100" t="str">
        <f t="shared" si="7"/>
        <v>KW1</v>
      </c>
      <c r="E184" s="100" t="str">
        <f t="shared" si="8"/>
        <v>06</v>
      </c>
      <c r="F184" t="s">
        <v>48</v>
      </c>
      <c r="G184">
        <v>8</v>
      </c>
      <c r="H184" t="s">
        <v>57</v>
      </c>
      <c r="I184" s="108" t="s">
        <v>50</v>
      </c>
    </row>
    <row r="185" spans="1:9">
      <c r="A185" t="s">
        <v>56</v>
      </c>
      <c r="B185" s="95">
        <v>44203</v>
      </c>
      <c r="C185" s="95" t="str">
        <f t="shared" si="9"/>
        <v>Jänner</v>
      </c>
      <c r="D185" s="100" t="str">
        <f t="shared" si="7"/>
        <v>KW1</v>
      </c>
      <c r="E185" s="100" t="str">
        <f t="shared" si="8"/>
        <v>07</v>
      </c>
      <c r="F185" t="s">
        <v>48</v>
      </c>
      <c r="G185">
        <v>8</v>
      </c>
      <c r="H185" t="s">
        <v>57</v>
      </c>
      <c r="I185" s="108" t="s">
        <v>50</v>
      </c>
    </row>
    <row r="186" spans="1:9">
      <c r="A186" t="s">
        <v>56</v>
      </c>
      <c r="B186" s="95">
        <v>44204</v>
      </c>
      <c r="C186" s="95" t="str">
        <f t="shared" si="9"/>
        <v>Jänner</v>
      </c>
      <c r="D186" s="100" t="str">
        <f t="shared" si="7"/>
        <v>KW1</v>
      </c>
      <c r="E186" s="100" t="str">
        <f t="shared" si="8"/>
        <v>08</v>
      </c>
      <c r="F186" t="s">
        <v>48</v>
      </c>
      <c r="G186">
        <v>8</v>
      </c>
      <c r="H186" t="s">
        <v>57</v>
      </c>
      <c r="I186" s="108" t="s">
        <v>50</v>
      </c>
    </row>
    <row r="187" spans="1:9">
      <c r="A187" t="s">
        <v>56</v>
      </c>
      <c r="B187" s="95">
        <v>44205</v>
      </c>
      <c r="C187" s="95" t="str">
        <f t="shared" si="9"/>
        <v>Jänner</v>
      </c>
      <c r="D187" s="100" t="str">
        <f t="shared" si="7"/>
        <v>KW1</v>
      </c>
      <c r="E187" s="100" t="str">
        <f t="shared" si="8"/>
        <v>09</v>
      </c>
      <c r="F187" t="s">
        <v>48</v>
      </c>
      <c r="G187">
        <v>8</v>
      </c>
      <c r="H187" t="s">
        <v>57</v>
      </c>
      <c r="I187" s="108" t="s">
        <v>50</v>
      </c>
    </row>
    <row r="188" spans="1:9">
      <c r="A188" t="s">
        <v>56</v>
      </c>
      <c r="B188" s="95">
        <v>44206</v>
      </c>
      <c r="C188" s="95" t="str">
        <f t="shared" si="9"/>
        <v>Jänner</v>
      </c>
      <c r="D188" s="100" t="str">
        <f t="shared" si="7"/>
        <v>KW1</v>
      </c>
      <c r="E188" s="100" t="str">
        <f t="shared" si="8"/>
        <v>10</v>
      </c>
      <c r="F188" t="s">
        <v>48</v>
      </c>
      <c r="G188">
        <v>8</v>
      </c>
      <c r="H188" t="s">
        <v>57</v>
      </c>
      <c r="I188" s="108" t="s">
        <v>50</v>
      </c>
    </row>
    <row r="189" spans="1:9">
      <c r="A189" t="s">
        <v>56</v>
      </c>
      <c r="B189" s="95">
        <v>44207</v>
      </c>
      <c r="C189" s="95" t="str">
        <f t="shared" si="9"/>
        <v>Jänner</v>
      </c>
      <c r="D189" s="100" t="str">
        <f t="shared" si="7"/>
        <v>KW2</v>
      </c>
      <c r="E189" s="100" t="str">
        <f t="shared" si="8"/>
        <v>11</v>
      </c>
      <c r="F189" t="s">
        <v>48</v>
      </c>
      <c r="G189">
        <v>8</v>
      </c>
      <c r="H189" t="s">
        <v>57</v>
      </c>
      <c r="I189" s="108" t="s">
        <v>50</v>
      </c>
    </row>
    <row r="190" spans="1:9">
      <c r="A190" t="s">
        <v>56</v>
      </c>
      <c r="B190" s="95">
        <v>44208</v>
      </c>
      <c r="C190" s="95" t="str">
        <f t="shared" si="9"/>
        <v>Jänner</v>
      </c>
      <c r="D190" s="100" t="str">
        <f t="shared" si="7"/>
        <v>KW2</v>
      </c>
      <c r="E190" s="100" t="str">
        <f t="shared" si="8"/>
        <v>12</v>
      </c>
      <c r="F190" t="s">
        <v>48</v>
      </c>
      <c r="G190">
        <v>8</v>
      </c>
      <c r="H190" t="s">
        <v>57</v>
      </c>
      <c r="I190" s="108" t="s">
        <v>50</v>
      </c>
    </row>
    <row r="191" spans="1:9">
      <c r="A191" t="s">
        <v>56</v>
      </c>
      <c r="B191" s="95">
        <v>44209</v>
      </c>
      <c r="C191" s="95" t="str">
        <f t="shared" si="9"/>
        <v>Jänner</v>
      </c>
      <c r="D191" s="100" t="str">
        <f t="shared" si="7"/>
        <v>KW2</v>
      </c>
      <c r="E191" s="100" t="str">
        <f t="shared" si="8"/>
        <v>13</v>
      </c>
      <c r="F191" t="s">
        <v>48</v>
      </c>
      <c r="G191">
        <v>8</v>
      </c>
      <c r="H191" t="s">
        <v>57</v>
      </c>
      <c r="I191" s="108" t="s">
        <v>50</v>
      </c>
    </row>
    <row r="192" spans="1:9">
      <c r="A192" t="s">
        <v>56</v>
      </c>
      <c r="B192" s="95">
        <v>44210</v>
      </c>
      <c r="C192" s="95" t="str">
        <f t="shared" si="9"/>
        <v>Jänner</v>
      </c>
      <c r="D192" s="100" t="str">
        <f t="shared" si="7"/>
        <v>KW2</v>
      </c>
      <c r="E192" s="100" t="str">
        <f t="shared" si="8"/>
        <v>14</v>
      </c>
      <c r="F192" t="s">
        <v>48</v>
      </c>
      <c r="G192">
        <v>8</v>
      </c>
      <c r="H192" t="s">
        <v>57</v>
      </c>
      <c r="I192" s="108" t="s">
        <v>50</v>
      </c>
    </row>
    <row r="193" spans="1:9">
      <c r="A193" t="s">
        <v>56</v>
      </c>
      <c r="B193" s="95">
        <v>44211</v>
      </c>
      <c r="C193" s="95" t="str">
        <f t="shared" si="9"/>
        <v>Jänner</v>
      </c>
      <c r="D193" s="100" t="str">
        <f t="shared" si="7"/>
        <v>KW2</v>
      </c>
      <c r="E193" s="100" t="str">
        <f t="shared" si="8"/>
        <v>15</v>
      </c>
      <c r="F193" t="s">
        <v>48</v>
      </c>
      <c r="G193">
        <v>8</v>
      </c>
      <c r="H193" t="s">
        <v>57</v>
      </c>
      <c r="I193" s="108" t="s">
        <v>50</v>
      </c>
    </row>
    <row r="194" spans="1:9">
      <c r="A194" t="s">
        <v>56</v>
      </c>
      <c r="B194" s="95">
        <v>44212</v>
      </c>
      <c r="C194" s="95" t="str">
        <f t="shared" si="9"/>
        <v>Jänner</v>
      </c>
      <c r="D194" s="100" t="str">
        <f t="shared" si="7"/>
        <v>KW2</v>
      </c>
      <c r="E194" s="100" t="str">
        <f t="shared" si="8"/>
        <v>16</v>
      </c>
      <c r="F194" t="s">
        <v>46</v>
      </c>
      <c r="G194">
        <v>8</v>
      </c>
      <c r="H194" t="s">
        <v>57</v>
      </c>
      <c r="I194" s="108" t="s">
        <v>51</v>
      </c>
    </row>
    <row r="195" spans="1:9">
      <c r="A195" t="s">
        <v>56</v>
      </c>
      <c r="B195" s="95">
        <v>44213</v>
      </c>
      <c r="C195" s="95" t="str">
        <f t="shared" si="9"/>
        <v>Jänner</v>
      </c>
      <c r="D195" s="100" t="str">
        <f t="shared" ref="D195:D236" si="10">CONCATENATE("KW",WEEKNUM(B195,21))</f>
        <v>KW2</v>
      </c>
      <c r="E195" s="100" t="str">
        <f t="shared" ref="E195:E236" si="11">TEXT(DAY(B195),"TT")</f>
        <v>17</v>
      </c>
      <c r="F195" t="s">
        <v>46</v>
      </c>
      <c r="G195">
        <v>8</v>
      </c>
      <c r="H195" t="s">
        <v>57</v>
      </c>
      <c r="I195" s="108" t="s">
        <v>51</v>
      </c>
    </row>
    <row r="196" spans="1:9">
      <c r="A196" t="s">
        <v>56</v>
      </c>
      <c r="B196" s="95">
        <v>44214</v>
      </c>
      <c r="C196" s="95" t="str">
        <f t="shared" si="9"/>
        <v>Jänner</v>
      </c>
      <c r="D196" s="100" t="str">
        <f t="shared" si="10"/>
        <v>KW3</v>
      </c>
      <c r="E196" s="100" t="str">
        <f t="shared" si="11"/>
        <v>18</v>
      </c>
      <c r="F196" t="s">
        <v>48</v>
      </c>
      <c r="G196">
        <v>8</v>
      </c>
      <c r="H196" t="s">
        <v>57</v>
      </c>
      <c r="I196" s="108" t="s">
        <v>50</v>
      </c>
    </row>
    <row r="197" spans="1:9">
      <c r="A197" t="s">
        <v>56</v>
      </c>
      <c r="B197" s="95">
        <v>44215</v>
      </c>
      <c r="C197" s="95" t="str">
        <f t="shared" si="9"/>
        <v>Jänner</v>
      </c>
      <c r="D197" s="100" t="str">
        <f t="shared" si="10"/>
        <v>KW3</v>
      </c>
      <c r="E197" s="100" t="str">
        <f t="shared" si="11"/>
        <v>19</v>
      </c>
      <c r="F197" t="s">
        <v>52</v>
      </c>
      <c r="G197">
        <v>8</v>
      </c>
      <c r="H197" t="s">
        <v>57</v>
      </c>
      <c r="I197" s="108" t="s">
        <v>50</v>
      </c>
    </row>
    <row r="198" spans="1:9">
      <c r="A198" t="s">
        <v>56</v>
      </c>
      <c r="B198" s="95">
        <v>44216</v>
      </c>
      <c r="C198" s="95" t="str">
        <f t="shared" si="9"/>
        <v>Jänner</v>
      </c>
      <c r="D198" s="100" t="str">
        <f t="shared" si="10"/>
        <v>KW3</v>
      </c>
      <c r="E198" s="100" t="str">
        <f t="shared" si="11"/>
        <v>20</v>
      </c>
      <c r="F198" t="s">
        <v>52</v>
      </c>
      <c r="G198">
        <v>8</v>
      </c>
      <c r="H198" t="s">
        <v>57</v>
      </c>
      <c r="I198" s="108" t="s">
        <v>50</v>
      </c>
    </row>
    <row r="199" spans="1:9">
      <c r="A199" t="s">
        <v>56</v>
      </c>
      <c r="B199" s="95">
        <v>44217</v>
      </c>
      <c r="C199" s="95" t="str">
        <f t="shared" si="9"/>
        <v>Jänner</v>
      </c>
      <c r="D199" s="100" t="str">
        <f t="shared" si="10"/>
        <v>KW3</v>
      </c>
      <c r="E199" s="100" t="str">
        <f t="shared" si="11"/>
        <v>21</v>
      </c>
      <c r="F199" t="s">
        <v>48</v>
      </c>
      <c r="G199">
        <v>8</v>
      </c>
      <c r="H199" t="s">
        <v>57</v>
      </c>
      <c r="I199" s="108" t="s">
        <v>50</v>
      </c>
    </row>
    <row r="200" spans="1:9">
      <c r="A200" t="s">
        <v>56</v>
      </c>
      <c r="B200" s="95">
        <v>44218</v>
      </c>
      <c r="C200" s="95" t="str">
        <f t="shared" si="9"/>
        <v>Jänner</v>
      </c>
      <c r="D200" s="100" t="str">
        <f t="shared" si="10"/>
        <v>KW3</v>
      </c>
      <c r="E200" s="100" t="str">
        <f t="shared" si="11"/>
        <v>22</v>
      </c>
      <c r="F200" t="s">
        <v>48</v>
      </c>
      <c r="G200">
        <v>8</v>
      </c>
      <c r="H200" t="s">
        <v>57</v>
      </c>
      <c r="I200" s="108" t="s">
        <v>50</v>
      </c>
    </row>
    <row r="201" spans="1:9">
      <c r="A201" t="s">
        <v>56</v>
      </c>
      <c r="B201" s="95">
        <v>44219</v>
      </c>
      <c r="C201" s="95" t="str">
        <f t="shared" si="9"/>
        <v>Jänner</v>
      </c>
      <c r="D201" s="100" t="str">
        <f t="shared" si="10"/>
        <v>KW3</v>
      </c>
      <c r="E201" s="100" t="str">
        <f t="shared" si="11"/>
        <v>23</v>
      </c>
      <c r="F201" t="s">
        <v>48</v>
      </c>
      <c r="G201">
        <v>8</v>
      </c>
      <c r="H201" t="s">
        <v>57</v>
      </c>
      <c r="I201" s="108" t="s">
        <v>50</v>
      </c>
    </row>
    <row r="202" spans="1:9">
      <c r="A202" t="s">
        <v>56</v>
      </c>
      <c r="B202" s="95">
        <v>44220</v>
      </c>
      <c r="C202" s="95" t="str">
        <f t="shared" si="9"/>
        <v>Jänner</v>
      </c>
      <c r="D202" s="100" t="str">
        <f t="shared" si="10"/>
        <v>KW3</v>
      </c>
      <c r="E202" s="100" t="str">
        <f t="shared" si="11"/>
        <v>24</v>
      </c>
      <c r="F202" t="s">
        <v>48</v>
      </c>
      <c r="G202">
        <v>8</v>
      </c>
      <c r="H202" t="s">
        <v>57</v>
      </c>
      <c r="I202" s="108" t="s">
        <v>50</v>
      </c>
    </row>
    <row r="203" spans="1:9">
      <c r="A203" t="s">
        <v>56</v>
      </c>
      <c r="B203" s="95">
        <v>44221</v>
      </c>
      <c r="C203" s="95" t="str">
        <f t="shared" si="9"/>
        <v>Jänner</v>
      </c>
      <c r="D203" s="100" t="str">
        <f t="shared" si="10"/>
        <v>KW4</v>
      </c>
      <c r="E203" s="100" t="str">
        <f t="shared" si="11"/>
        <v>25</v>
      </c>
      <c r="F203" t="s">
        <v>48</v>
      </c>
      <c r="G203">
        <v>8</v>
      </c>
      <c r="H203" t="s">
        <v>57</v>
      </c>
      <c r="I203" s="108" t="s">
        <v>50</v>
      </c>
    </row>
    <row r="204" spans="1:9">
      <c r="A204" t="s">
        <v>56</v>
      </c>
      <c r="B204" s="95">
        <v>44222</v>
      </c>
      <c r="C204" s="95" t="str">
        <f t="shared" si="9"/>
        <v>Jänner</v>
      </c>
      <c r="D204" s="100" t="str">
        <f t="shared" si="10"/>
        <v>KW4</v>
      </c>
      <c r="E204" s="100" t="str">
        <f t="shared" si="11"/>
        <v>26</v>
      </c>
      <c r="F204" t="s">
        <v>48</v>
      </c>
      <c r="G204">
        <v>8</v>
      </c>
      <c r="H204" t="s">
        <v>57</v>
      </c>
      <c r="I204" s="108" t="s">
        <v>50</v>
      </c>
    </row>
    <row r="205" spans="1:9">
      <c r="A205" t="s">
        <v>56</v>
      </c>
      <c r="B205" s="95">
        <v>44223</v>
      </c>
      <c r="C205" s="95" t="str">
        <f t="shared" si="9"/>
        <v>Jänner</v>
      </c>
      <c r="D205" s="100" t="str">
        <f t="shared" si="10"/>
        <v>KW4</v>
      </c>
      <c r="E205" s="100" t="str">
        <f t="shared" si="11"/>
        <v>27</v>
      </c>
      <c r="F205" t="s">
        <v>48</v>
      </c>
      <c r="G205">
        <v>8</v>
      </c>
      <c r="H205" t="s">
        <v>57</v>
      </c>
      <c r="I205" s="108" t="s">
        <v>50</v>
      </c>
    </row>
    <row r="206" spans="1:9">
      <c r="A206" t="s">
        <v>56</v>
      </c>
      <c r="B206" s="95">
        <v>44224</v>
      </c>
      <c r="C206" s="95" t="str">
        <f t="shared" si="9"/>
        <v>Jänner</v>
      </c>
      <c r="D206" s="100" t="str">
        <f t="shared" si="10"/>
        <v>KW4</v>
      </c>
      <c r="E206" s="100" t="str">
        <f t="shared" si="11"/>
        <v>28</v>
      </c>
      <c r="F206" t="s">
        <v>48</v>
      </c>
      <c r="G206">
        <v>8</v>
      </c>
      <c r="H206" t="s">
        <v>57</v>
      </c>
      <c r="I206" s="108" t="s">
        <v>50</v>
      </c>
    </row>
    <row r="207" spans="1:9">
      <c r="A207" t="s">
        <v>56</v>
      </c>
      <c r="B207" s="95">
        <v>44225</v>
      </c>
      <c r="C207" s="95" t="str">
        <f t="shared" si="9"/>
        <v>Jänner</v>
      </c>
      <c r="D207" s="100" t="str">
        <f t="shared" si="10"/>
        <v>KW4</v>
      </c>
      <c r="E207" s="100" t="str">
        <f t="shared" si="11"/>
        <v>29</v>
      </c>
      <c r="F207" t="s">
        <v>48</v>
      </c>
      <c r="G207">
        <v>8</v>
      </c>
      <c r="H207" t="s">
        <v>57</v>
      </c>
      <c r="I207" s="108" t="s">
        <v>50</v>
      </c>
    </row>
    <row r="208" spans="1:9">
      <c r="A208" t="s">
        <v>56</v>
      </c>
      <c r="B208" s="95">
        <v>44226</v>
      </c>
      <c r="C208" s="95" t="str">
        <f t="shared" si="9"/>
        <v>Jänner</v>
      </c>
      <c r="D208" s="100" t="str">
        <f t="shared" si="10"/>
        <v>KW4</v>
      </c>
      <c r="E208" s="100" t="str">
        <f t="shared" si="11"/>
        <v>30</v>
      </c>
      <c r="F208" t="s">
        <v>48</v>
      </c>
      <c r="G208">
        <v>8</v>
      </c>
      <c r="H208" t="s">
        <v>57</v>
      </c>
      <c r="I208" s="108" t="s">
        <v>50</v>
      </c>
    </row>
    <row r="209" spans="1:9">
      <c r="A209" t="s">
        <v>56</v>
      </c>
      <c r="B209" s="95">
        <v>44227</v>
      </c>
      <c r="C209" s="95" t="str">
        <f t="shared" si="9"/>
        <v>Jänner</v>
      </c>
      <c r="D209" s="100" t="str">
        <f t="shared" si="10"/>
        <v>KW4</v>
      </c>
      <c r="E209" s="100" t="str">
        <f t="shared" si="11"/>
        <v>31</v>
      </c>
      <c r="F209" t="s">
        <v>48</v>
      </c>
      <c r="G209">
        <v>8</v>
      </c>
      <c r="H209" t="s">
        <v>57</v>
      </c>
      <c r="I209" s="108" t="s">
        <v>50</v>
      </c>
    </row>
    <row r="210" spans="1:9">
      <c r="A210" t="s">
        <v>56</v>
      </c>
      <c r="B210" s="95">
        <v>44228</v>
      </c>
      <c r="C210" s="95" t="str">
        <f t="shared" si="9"/>
        <v>Februar</v>
      </c>
      <c r="D210" s="100" t="str">
        <f t="shared" si="10"/>
        <v>KW5</v>
      </c>
      <c r="E210" s="100" t="str">
        <f t="shared" si="11"/>
        <v>01</v>
      </c>
      <c r="F210" t="s">
        <v>48</v>
      </c>
      <c r="G210">
        <v>8</v>
      </c>
      <c r="H210" t="s">
        <v>57</v>
      </c>
      <c r="I210" s="108" t="s">
        <v>50</v>
      </c>
    </row>
    <row r="211" spans="1:9">
      <c r="A211" t="s">
        <v>56</v>
      </c>
      <c r="B211" s="95">
        <v>44229</v>
      </c>
      <c r="C211" s="95" t="str">
        <f t="shared" si="9"/>
        <v>Februar</v>
      </c>
      <c r="D211" s="100" t="str">
        <f t="shared" si="10"/>
        <v>KW5</v>
      </c>
      <c r="E211" s="100" t="str">
        <f t="shared" si="11"/>
        <v>02</v>
      </c>
      <c r="F211" t="s">
        <v>48</v>
      </c>
      <c r="G211">
        <v>8</v>
      </c>
      <c r="H211" t="s">
        <v>57</v>
      </c>
      <c r="I211" s="108" t="s">
        <v>50</v>
      </c>
    </row>
    <row r="212" spans="1:9">
      <c r="A212" t="s">
        <v>56</v>
      </c>
      <c r="B212" s="95">
        <v>44230</v>
      </c>
      <c r="C212" s="95" t="str">
        <f t="shared" si="9"/>
        <v>Februar</v>
      </c>
      <c r="D212" s="100" t="str">
        <f t="shared" si="10"/>
        <v>KW5</v>
      </c>
      <c r="E212" s="100" t="str">
        <f t="shared" si="11"/>
        <v>03</v>
      </c>
      <c r="F212" t="s">
        <v>48</v>
      </c>
      <c r="G212">
        <v>8</v>
      </c>
      <c r="H212" t="s">
        <v>57</v>
      </c>
      <c r="I212" s="108" t="s">
        <v>50</v>
      </c>
    </row>
    <row r="213" spans="1:9">
      <c r="A213" t="s">
        <v>56</v>
      </c>
      <c r="B213" s="95">
        <v>44231</v>
      </c>
      <c r="C213" s="95" t="str">
        <f t="shared" si="9"/>
        <v>Februar</v>
      </c>
      <c r="D213" s="100" t="str">
        <f t="shared" si="10"/>
        <v>KW5</v>
      </c>
      <c r="E213" s="100" t="str">
        <f t="shared" si="11"/>
        <v>04</v>
      </c>
      <c r="F213" t="s">
        <v>48</v>
      </c>
      <c r="G213">
        <v>8</v>
      </c>
      <c r="H213" t="s">
        <v>57</v>
      </c>
      <c r="I213" s="108" t="s">
        <v>50</v>
      </c>
    </row>
    <row r="214" spans="1:9">
      <c r="A214" t="s">
        <v>56</v>
      </c>
      <c r="B214" s="95">
        <v>44232</v>
      </c>
      <c r="C214" s="95" t="str">
        <f t="shared" si="9"/>
        <v>Februar</v>
      </c>
      <c r="D214" s="100" t="str">
        <f t="shared" si="10"/>
        <v>KW5</v>
      </c>
      <c r="E214" s="100" t="str">
        <f t="shared" si="11"/>
        <v>05</v>
      </c>
      <c r="F214" t="s">
        <v>48</v>
      </c>
      <c r="G214">
        <v>8</v>
      </c>
      <c r="H214" t="s">
        <v>57</v>
      </c>
      <c r="I214" s="108" t="s">
        <v>50</v>
      </c>
    </row>
    <row r="215" spans="1:9">
      <c r="A215" t="s">
        <v>56</v>
      </c>
      <c r="B215" s="95">
        <v>44233</v>
      </c>
      <c r="C215" s="95" t="str">
        <f t="shared" si="9"/>
        <v>Februar</v>
      </c>
      <c r="D215" s="100" t="str">
        <f t="shared" si="10"/>
        <v>KW5</v>
      </c>
      <c r="E215" s="100" t="str">
        <f t="shared" si="11"/>
        <v>06</v>
      </c>
      <c r="F215" t="s">
        <v>48</v>
      </c>
      <c r="G215">
        <v>8</v>
      </c>
      <c r="H215" t="s">
        <v>57</v>
      </c>
      <c r="I215" s="108" t="s">
        <v>50</v>
      </c>
    </row>
    <row r="216" spans="1:9">
      <c r="A216" t="s">
        <v>56</v>
      </c>
      <c r="B216" s="95">
        <v>44234</v>
      </c>
      <c r="C216" s="95" t="str">
        <f t="shared" si="9"/>
        <v>Februar</v>
      </c>
      <c r="D216" s="100" t="str">
        <f t="shared" si="10"/>
        <v>KW5</v>
      </c>
      <c r="E216" s="100" t="str">
        <f t="shared" si="11"/>
        <v>07</v>
      </c>
      <c r="F216" t="s">
        <v>48</v>
      </c>
      <c r="G216">
        <v>8</v>
      </c>
      <c r="H216" t="s">
        <v>57</v>
      </c>
      <c r="I216" s="108" t="s">
        <v>50</v>
      </c>
    </row>
    <row r="217" spans="1:9">
      <c r="A217" t="s">
        <v>56</v>
      </c>
      <c r="B217" s="95">
        <v>44235</v>
      </c>
      <c r="C217" s="95" t="str">
        <f t="shared" si="9"/>
        <v>Februar</v>
      </c>
      <c r="D217" s="100" t="str">
        <f t="shared" si="10"/>
        <v>KW6</v>
      </c>
      <c r="E217" s="100" t="str">
        <f t="shared" si="11"/>
        <v>08</v>
      </c>
      <c r="F217" t="s">
        <v>48</v>
      </c>
      <c r="G217">
        <v>8</v>
      </c>
      <c r="H217" t="s">
        <v>57</v>
      </c>
      <c r="I217" s="108" t="s">
        <v>50</v>
      </c>
    </row>
    <row r="218" spans="1:9">
      <c r="A218" t="s">
        <v>56</v>
      </c>
      <c r="B218" s="95">
        <v>44236</v>
      </c>
      <c r="C218" s="95" t="str">
        <f t="shared" si="9"/>
        <v>Februar</v>
      </c>
      <c r="D218" s="100" t="str">
        <f t="shared" si="10"/>
        <v>KW6</v>
      </c>
      <c r="E218" s="100" t="str">
        <f t="shared" si="11"/>
        <v>09</v>
      </c>
      <c r="F218" t="s">
        <v>48</v>
      </c>
      <c r="G218">
        <v>8</v>
      </c>
      <c r="H218" t="s">
        <v>57</v>
      </c>
      <c r="I218" s="108" t="s">
        <v>50</v>
      </c>
    </row>
    <row r="219" spans="1:9">
      <c r="A219" t="s">
        <v>56</v>
      </c>
      <c r="B219" s="95">
        <v>44237</v>
      </c>
      <c r="C219" s="95" t="str">
        <f t="shared" si="9"/>
        <v>Februar</v>
      </c>
      <c r="D219" s="100" t="str">
        <f t="shared" si="10"/>
        <v>KW6</v>
      </c>
      <c r="E219" s="100" t="str">
        <f t="shared" si="11"/>
        <v>10</v>
      </c>
      <c r="F219" t="s">
        <v>48</v>
      </c>
      <c r="G219">
        <v>8</v>
      </c>
      <c r="H219" t="s">
        <v>57</v>
      </c>
      <c r="I219" s="108" t="s">
        <v>50</v>
      </c>
    </row>
    <row r="220" spans="1:9">
      <c r="A220" t="s">
        <v>56</v>
      </c>
      <c r="B220" s="95">
        <v>44238</v>
      </c>
      <c r="C220" s="95" t="str">
        <f t="shared" si="9"/>
        <v>Februar</v>
      </c>
      <c r="D220" s="100" t="str">
        <f t="shared" si="10"/>
        <v>KW6</v>
      </c>
      <c r="E220" s="100" t="str">
        <f t="shared" si="11"/>
        <v>11</v>
      </c>
      <c r="F220" t="s">
        <v>48</v>
      </c>
      <c r="G220">
        <v>8</v>
      </c>
      <c r="H220" t="s">
        <v>57</v>
      </c>
      <c r="I220" s="108" t="s">
        <v>50</v>
      </c>
    </row>
    <row r="221" spans="1:9">
      <c r="A221" t="s">
        <v>56</v>
      </c>
      <c r="B221" s="95">
        <v>44239</v>
      </c>
      <c r="C221" s="95" t="str">
        <f t="shared" si="9"/>
        <v>Februar</v>
      </c>
      <c r="D221" s="100" t="str">
        <f t="shared" si="10"/>
        <v>KW6</v>
      </c>
      <c r="E221" s="100" t="str">
        <f t="shared" si="11"/>
        <v>12</v>
      </c>
      <c r="F221" t="s">
        <v>48</v>
      </c>
      <c r="G221">
        <v>8</v>
      </c>
      <c r="H221" t="s">
        <v>57</v>
      </c>
      <c r="I221" s="108" t="s">
        <v>50</v>
      </c>
    </row>
    <row r="222" spans="1:9">
      <c r="A222" t="s">
        <v>56</v>
      </c>
      <c r="B222" s="95">
        <v>44240</v>
      </c>
      <c r="C222" s="95" t="str">
        <f t="shared" si="9"/>
        <v>Februar</v>
      </c>
      <c r="D222" s="100" t="str">
        <f t="shared" si="10"/>
        <v>KW6</v>
      </c>
      <c r="E222" s="100" t="str">
        <f t="shared" si="11"/>
        <v>13</v>
      </c>
      <c r="F222" t="s">
        <v>48</v>
      </c>
      <c r="G222">
        <v>8</v>
      </c>
      <c r="H222" t="s">
        <v>57</v>
      </c>
      <c r="I222" s="108" t="s">
        <v>50</v>
      </c>
    </row>
    <row r="223" spans="1:9">
      <c r="A223" t="s">
        <v>56</v>
      </c>
      <c r="B223" s="95">
        <v>44241</v>
      </c>
      <c r="C223" s="95" t="str">
        <f t="shared" si="9"/>
        <v>Februar</v>
      </c>
      <c r="D223" s="100" t="str">
        <f t="shared" si="10"/>
        <v>KW6</v>
      </c>
      <c r="E223" s="100" t="str">
        <f t="shared" si="11"/>
        <v>14</v>
      </c>
      <c r="F223" t="s">
        <v>48</v>
      </c>
      <c r="G223">
        <v>8</v>
      </c>
      <c r="H223" t="s">
        <v>57</v>
      </c>
      <c r="I223" s="108" t="s">
        <v>50</v>
      </c>
    </row>
    <row r="224" spans="1:9">
      <c r="A224" t="s">
        <v>56</v>
      </c>
      <c r="B224" s="95">
        <v>44242</v>
      </c>
      <c r="C224" s="95" t="str">
        <f t="shared" si="9"/>
        <v>Februar</v>
      </c>
      <c r="D224" s="100" t="str">
        <f t="shared" si="10"/>
        <v>KW7</v>
      </c>
      <c r="E224" s="100" t="str">
        <f t="shared" si="11"/>
        <v>15</v>
      </c>
      <c r="F224" t="s">
        <v>48</v>
      </c>
      <c r="G224">
        <v>8</v>
      </c>
      <c r="H224" t="s">
        <v>57</v>
      </c>
      <c r="I224" s="108" t="s">
        <v>50</v>
      </c>
    </row>
    <row r="225" spans="1:9">
      <c r="A225" t="s">
        <v>56</v>
      </c>
      <c r="B225" s="95">
        <v>44243</v>
      </c>
      <c r="C225" s="95" t="str">
        <f t="shared" si="9"/>
        <v>Februar</v>
      </c>
      <c r="D225" s="100" t="str">
        <f t="shared" si="10"/>
        <v>KW7</v>
      </c>
      <c r="E225" s="100" t="str">
        <f t="shared" si="11"/>
        <v>16</v>
      </c>
      <c r="F225" t="s">
        <v>48</v>
      </c>
      <c r="G225">
        <v>8</v>
      </c>
      <c r="H225" t="s">
        <v>57</v>
      </c>
      <c r="I225" s="108" t="s">
        <v>50</v>
      </c>
    </row>
    <row r="226" spans="1:9">
      <c r="A226" t="s">
        <v>56</v>
      </c>
      <c r="B226" s="95">
        <v>44244</v>
      </c>
      <c r="C226" s="95" t="str">
        <f t="shared" si="9"/>
        <v>Februar</v>
      </c>
      <c r="D226" s="100" t="str">
        <f t="shared" si="10"/>
        <v>KW7</v>
      </c>
      <c r="E226" s="100" t="str">
        <f t="shared" si="11"/>
        <v>17</v>
      </c>
      <c r="F226" t="s">
        <v>48</v>
      </c>
      <c r="G226">
        <v>8</v>
      </c>
      <c r="H226" t="s">
        <v>57</v>
      </c>
      <c r="I226" s="108" t="s">
        <v>50</v>
      </c>
    </row>
    <row r="227" spans="1:9">
      <c r="A227" t="s">
        <v>56</v>
      </c>
      <c r="B227" s="95">
        <v>44245</v>
      </c>
      <c r="C227" s="95" t="str">
        <f t="shared" si="9"/>
        <v>Februar</v>
      </c>
      <c r="D227" s="100" t="str">
        <f t="shared" si="10"/>
        <v>KW7</v>
      </c>
      <c r="E227" s="100" t="str">
        <f t="shared" si="11"/>
        <v>18</v>
      </c>
      <c r="F227" t="s">
        <v>52</v>
      </c>
      <c r="G227">
        <v>8</v>
      </c>
      <c r="H227" t="s">
        <v>57</v>
      </c>
      <c r="I227" s="108" t="s">
        <v>50</v>
      </c>
    </row>
    <row r="228" spans="1:9">
      <c r="A228" t="s">
        <v>56</v>
      </c>
      <c r="B228" s="95">
        <v>44246</v>
      </c>
      <c r="C228" s="95" t="str">
        <f t="shared" si="9"/>
        <v>Februar</v>
      </c>
      <c r="D228" s="100" t="str">
        <f t="shared" si="10"/>
        <v>KW7</v>
      </c>
      <c r="E228" s="100" t="str">
        <f t="shared" si="11"/>
        <v>19</v>
      </c>
      <c r="F228" t="s">
        <v>52</v>
      </c>
      <c r="G228">
        <v>8</v>
      </c>
      <c r="H228" t="s">
        <v>57</v>
      </c>
      <c r="I228" s="108" t="s">
        <v>50</v>
      </c>
    </row>
    <row r="229" spans="1:9">
      <c r="A229" t="s">
        <v>56</v>
      </c>
      <c r="B229" s="95">
        <v>44247</v>
      </c>
      <c r="C229" s="95" t="str">
        <f t="shared" si="9"/>
        <v>Februar</v>
      </c>
      <c r="D229" s="100" t="str">
        <f t="shared" si="10"/>
        <v>KW7</v>
      </c>
      <c r="E229" s="100" t="str">
        <f t="shared" si="11"/>
        <v>20</v>
      </c>
      <c r="F229" t="s">
        <v>48</v>
      </c>
      <c r="G229">
        <v>8</v>
      </c>
      <c r="H229" t="s">
        <v>57</v>
      </c>
      <c r="I229" s="108" t="s">
        <v>50</v>
      </c>
    </row>
    <row r="230" spans="1:9">
      <c r="A230" t="s">
        <v>56</v>
      </c>
      <c r="B230" s="95">
        <v>44248</v>
      </c>
      <c r="C230" s="95" t="str">
        <f t="shared" si="9"/>
        <v>Februar</v>
      </c>
      <c r="D230" s="100" t="str">
        <f t="shared" si="10"/>
        <v>KW7</v>
      </c>
      <c r="E230" s="100" t="str">
        <f t="shared" si="11"/>
        <v>21</v>
      </c>
      <c r="F230" t="s">
        <v>48</v>
      </c>
      <c r="G230">
        <v>8</v>
      </c>
      <c r="H230" t="s">
        <v>57</v>
      </c>
      <c r="I230" s="108" t="s">
        <v>50</v>
      </c>
    </row>
    <row r="231" spans="1:9">
      <c r="A231" t="s">
        <v>56</v>
      </c>
      <c r="B231" s="95">
        <v>44249</v>
      </c>
      <c r="C231" s="95" t="str">
        <f t="shared" si="9"/>
        <v>Februar</v>
      </c>
      <c r="D231" s="100" t="str">
        <f t="shared" si="10"/>
        <v>KW8</v>
      </c>
      <c r="E231" s="100" t="str">
        <f t="shared" si="11"/>
        <v>22</v>
      </c>
      <c r="F231" t="s">
        <v>48</v>
      </c>
      <c r="G231">
        <v>8</v>
      </c>
      <c r="H231" t="s">
        <v>57</v>
      </c>
      <c r="I231" s="108" t="s">
        <v>50</v>
      </c>
    </row>
    <row r="232" spans="1:9">
      <c r="A232" t="s">
        <v>56</v>
      </c>
      <c r="B232" s="95">
        <v>44250</v>
      </c>
      <c r="C232" s="95" t="str">
        <f t="shared" si="9"/>
        <v>Februar</v>
      </c>
      <c r="D232" s="100" t="str">
        <f t="shared" si="10"/>
        <v>KW8</v>
      </c>
      <c r="E232" s="100" t="str">
        <f t="shared" si="11"/>
        <v>23</v>
      </c>
      <c r="F232" t="s">
        <v>48</v>
      </c>
      <c r="G232">
        <v>8</v>
      </c>
      <c r="H232" t="s">
        <v>57</v>
      </c>
      <c r="I232" s="108" t="s">
        <v>50</v>
      </c>
    </row>
    <row r="233" spans="1:9">
      <c r="A233" t="s">
        <v>56</v>
      </c>
      <c r="B233" s="95">
        <v>44251</v>
      </c>
      <c r="C233" s="95" t="str">
        <f t="shared" si="9"/>
        <v>Februar</v>
      </c>
      <c r="D233" s="100" t="str">
        <f t="shared" si="10"/>
        <v>KW8</v>
      </c>
      <c r="E233" s="100" t="str">
        <f t="shared" si="11"/>
        <v>24</v>
      </c>
      <c r="F233" t="s">
        <v>48</v>
      </c>
      <c r="G233">
        <v>8</v>
      </c>
      <c r="H233" t="s">
        <v>57</v>
      </c>
      <c r="I233" s="108" t="s">
        <v>50</v>
      </c>
    </row>
    <row r="234" spans="1:9">
      <c r="A234" t="s">
        <v>56</v>
      </c>
      <c r="B234" s="95">
        <v>44252</v>
      </c>
      <c r="C234" s="95" t="str">
        <f t="shared" si="9"/>
        <v>Februar</v>
      </c>
      <c r="D234" s="100" t="str">
        <f t="shared" si="10"/>
        <v>KW8</v>
      </c>
      <c r="E234" s="100" t="str">
        <f t="shared" si="11"/>
        <v>25</v>
      </c>
      <c r="F234" t="s">
        <v>48</v>
      </c>
      <c r="G234">
        <v>8</v>
      </c>
      <c r="H234" t="s">
        <v>57</v>
      </c>
      <c r="I234" s="108" t="s">
        <v>50</v>
      </c>
    </row>
    <row r="235" spans="1:9">
      <c r="A235" t="s">
        <v>56</v>
      </c>
      <c r="B235" s="95">
        <v>44253</v>
      </c>
      <c r="C235" s="95" t="str">
        <f t="shared" si="9"/>
        <v>Februar</v>
      </c>
      <c r="D235" s="100" t="str">
        <f t="shared" si="10"/>
        <v>KW8</v>
      </c>
      <c r="E235" s="100" t="str">
        <f t="shared" si="11"/>
        <v>26</v>
      </c>
      <c r="F235" t="s">
        <v>48</v>
      </c>
      <c r="G235">
        <v>8</v>
      </c>
      <c r="H235" t="s">
        <v>57</v>
      </c>
      <c r="I235" s="108" t="s">
        <v>50</v>
      </c>
    </row>
    <row r="236" spans="1:9">
      <c r="A236" t="s">
        <v>56</v>
      </c>
      <c r="B236" s="95">
        <v>44254</v>
      </c>
      <c r="C236" s="95" t="str">
        <f t="shared" si="9"/>
        <v>Februar</v>
      </c>
      <c r="D236" s="100" t="str">
        <f t="shared" si="10"/>
        <v>KW8</v>
      </c>
      <c r="E236" s="100" t="str">
        <f t="shared" si="11"/>
        <v>27</v>
      </c>
      <c r="F236" t="s">
        <v>48</v>
      </c>
      <c r="G236">
        <v>8</v>
      </c>
      <c r="H236" t="s">
        <v>57</v>
      </c>
      <c r="I236" s="108" t="s">
        <v>50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2A18-F03B-4E67-80DE-5AA6CB2E061E}">
  <dimension ref="A2:P23"/>
  <sheetViews>
    <sheetView showGridLines="0" tabSelected="1" zoomScale="80" zoomScaleNormal="80" workbookViewId="0">
      <selection activeCell="A15" sqref="A15"/>
    </sheetView>
  </sheetViews>
  <sheetFormatPr defaultColWidth="11.42578125" defaultRowHeight="14.45"/>
  <cols>
    <col min="1" max="1" width="13.7109375" bestFit="1" customWidth="1"/>
    <col min="2" max="2" width="9.7109375" customWidth="1"/>
    <col min="3" max="4" width="3.140625" bestFit="1" customWidth="1"/>
    <col min="5" max="5" width="7.85546875" bestFit="1" customWidth="1"/>
    <col min="6" max="9" width="7.140625" bestFit="1" customWidth="1"/>
    <col min="10" max="10" width="12.140625" bestFit="1" customWidth="1"/>
    <col min="11" max="11" width="10.85546875" bestFit="1" customWidth="1"/>
    <col min="12" max="14" width="7.140625" bestFit="1" customWidth="1"/>
    <col min="15" max="15" width="13.42578125" bestFit="1" customWidth="1"/>
    <col min="16" max="16" width="5.5703125" bestFit="1" customWidth="1"/>
    <col min="17" max="18" width="7.140625" bestFit="1" customWidth="1"/>
    <col min="19" max="19" width="13.42578125" bestFit="1" customWidth="1"/>
    <col min="20" max="20" width="5.5703125" bestFit="1" customWidth="1"/>
    <col min="21" max="22" width="3.140625" bestFit="1" customWidth="1"/>
    <col min="23" max="23" width="7.85546875" bestFit="1" customWidth="1"/>
    <col min="24" max="25" width="7.140625" bestFit="1" customWidth="1"/>
    <col min="26" max="26" width="13.42578125" bestFit="1" customWidth="1"/>
    <col min="27" max="27" width="5.5703125" bestFit="1" customWidth="1"/>
    <col min="28" max="28" width="6.85546875" bestFit="1" customWidth="1"/>
    <col min="29" max="34" width="3" bestFit="1" customWidth="1"/>
    <col min="35" max="35" width="7.42578125" bestFit="1" customWidth="1"/>
    <col min="36" max="36" width="15.42578125" bestFit="1" customWidth="1"/>
    <col min="37" max="37" width="15.140625" bestFit="1" customWidth="1"/>
    <col min="38" max="41" width="3" bestFit="1" customWidth="1"/>
    <col min="42" max="42" width="7.42578125" bestFit="1" customWidth="1"/>
    <col min="43" max="43" width="15.42578125" bestFit="1" customWidth="1"/>
    <col min="44" max="44" width="15.140625" bestFit="1" customWidth="1"/>
    <col min="45" max="48" width="3" bestFit="1" customWidth="1"/>
    <col min="49" max="49" width="7.42578125" bestFit="1" customWidth="1"/>
    <col min="50" max="50" width="15.42578125" bestFit="1" customWidth="1"/>
    <col min="51" max="51" width="15.140625" bestFit="1" customWidth="1"/>
    <col min="52" max="55" width="3" bestFit="1" customWidth="1"/>
    <col min="56" max="56" width="7.42578125" bestFit="1" customWidth="1"/>
    <col min="57" max="57" width="15.42578125" bestFit="1" customWidth="1"/>
    <col min="58" max="58" width="15.140625" bestFit="1" customWidth="1"/>
    <col min="59" max="62" width="3" bestFit="1" customWidth="1"/>
    <col min="63" max="63" width="7.42578125" bestFit="1" customWidth="1"/>
    <col min="64" max="64" width="15.42578125" bestFit="1" customWidth="1"/>
    <col min="65" max="65" width="15.140625" bestFit="1" customWidth="1"/>
    <col min="66" max="69" width="3" bestFit="1" customWidth="1"/>
    <col min="70" max="70" width="7.42578125" bestFit="1" customWidth="1"/>
    <col min="71" max="71" width="15" bestFit="1" customWidth="1"/>
    <col min="72" max="73" width="14.42578125" bestFit="1" customWidth="1"/>
    <col min="74" max="77" width="6.5703125" bestFit="1" customWidth="1"/>
    <col min="79" max="79" width="9.5703125" bestFit="1" customWidth="1"/>
    <col min="80" max="80" width="15" bestFit="1" customWidth="1"/>
    <col min="81" max="81" width="14.42578125" bestFit="1" customWidth="1"/>
  </cols>
  <sheetData>
    <row r="2" spans="1:16" ht="24.6" customHeight="1">
      <c r="A2" s="102" t="s">
        <v>58</v>
      </c>
      <c r="B2" s="10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6">
      <c r="A3" s="97" t="s">
        <v>59</v>
      </c>
      <c r="B3" s="97" t="s">
        <v>60</v>
      </c>
      <c r="O3" s="106"/>
    </row>
    <row r="4" spans="1:16">
      <c r="B4" t="s">
        <v>13</v>
      </c>
      <c r="J4" s="96" t="s">
        <v>61</v>
      </c>
      <c r="K4" s="106" t="s">
        <v>14</v>
      </c>
      <c r="O4" s="96" t="s">
        <v>62</v>
      </c>
      <c r="P4" s="96" t="s">
        <v>63</v>
      </c>
    </row>
    <row r="5" spans="1:16">
      <c r="B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s="96"/>
      <c r="K5" s="106" t="s">
        <v>70</v>
      </c>
      <c r="L5" t="s">
        <v>71</v>
      </c>
      <c r="M5" t="s">
        <v>72</v>
      </c>
      <c r="N5" t="s">
        <v>73</v>
      </c>
      <c r="O5" s="96"/>
      <c r="P5" s="96"/>
    </row>
    <row r="6" spans="1:16">
      <c r="A6" s="97" t="s">
        <v>74</v>
      </c>
      <c r="B6" s="96" t="s">
        <v>75</v>
      </c>
      <c r="C6" t="s">
        <v>76</v>
      </c>
      <c r="D6" t="s">
        <v>77</v>
      </c>
      <c r="J6" s="96"/>
      <c r="O6" s="96"/>
      <c r="P6" s="96"/>
    </row>
    <row r="7" spans="1:16">
      <c r="A7" s="98" t="s">
        <v>47</v>
      </c>
      <c r="B7" s="99">
        <v>8</v>
      </c>
      <c r="C7" s="99">
        <v>8</v>
      </c>
      <c r="D7" s="99">
        <v>8</v>
      </c>
      <c r="E7" s="99">
        <v>24</v>
      </c>
      <c r="F7" s="99">
        <v>56</v>
      </c>
      <c r="G7" s="99">
        <v>56</v>
      </c>
      <c r="H7" s="99">
        <v>56</v>
      </c>
      <c r="I7" s="99">
        <v>56</v>
      </c>
      <c r="J7" s="99">
        <v>248</v>
      </c>
      <c r="K7" s="107">
        <v>56</v>
      </c>
      <c r="L7" s="99">
        <v>56</v>
      </c>
      <c r="M7" s="99">
        <v>56</v>
      </c>
      <c r="N7" s="99">
        <v>56</v>
      </c>
      <c r="O7" s="99">
        <v>224</v>
      </c>
      <c r="P7" s="99">
        <v>472</v>
      </c>
    </row>
    <row r="8" spans="1:16">
      <c r="A8" s="101" t="s">
        <v>48</v>
      </c>
      <c r="B8" s="99">
        <v>8</v>
      </c>
      <c r="C8" s="99">
        <v>8</v>
      </c>
      <c r="D8" s="99">
        <v>8</v>
      </c>
      <c r="E8" s="99">
        <v>24</v>
      </c>
      <c r="F8" s="99">
        <v>48</v>
      </c>
      <c r="G8" s="99"/>
      <c r="H8" s="99">
        <v>56</v>
      </c>
      <c r="I8" s="99">
        <v>16</v>
      </c>
      <c r="J8" s="99">
        <v>144</v>
      </c>
      <c r="K8" s="107">
        <v>56</v>
      </c>
      <c r="L8" s="99">
        <v>56</v>
      </c>
      <c r="M8" s="99">
        <v>56</v>
      </c>
      <c r="N8" s="99">
        <v>56</v>
      </c>
      <c r="O8" s="99">
        <v>224</v>
      </c>
      <c r="P8" s="99">
        <v>368</v>
      </c>
    </row>
    <row r="9" spans="1:16">
      <c r="A9" s="101" t="s">
        <v>46</v>
      </c>
      <c r="B9" s="99"/>
      <c r="C9" s="99"/>
      <c r="D9" s="99"/>
      <c r="E9" s="99"/>
      <c r="F9" s="99">
        <v>8</v>
      </c>
      <c r="G9" s="99">
        <v>56</v>
      </c>
      <c r="H9" s="99"/>
      <c r="I9" s="99"/>
      <c r="J9" s="99">
        <v>64</v>
      </c>
      <c r="K9" s="107"/>
      <c r="L9" s="99"/>
      <c r="M9" s="99"/>
      <c r="N9" s="99"/>
      <c r="O9" s="99"/>
      <c r="P9" s="99">
        <v>64</v>
      </c>
    </row>
    <row r="10" spans="1:16">
      <c r="A10" s="101" t="s">
        <v>52</v>
      </c>
      <c r="B10" s="99"/>
      <c r="C10" s="99"/>
      <c r="D10" s="99"/>
      <c r="E10" s="99"/>
      <c r="F10" s="99"/>
      <c r="G10" s="99"/>
      <c r="H10" s="99"/>
      <c r="I10" s="99">
        <v>40</v>
      </c>
      <c r="J10" s="99">
        <v>40</v>
      </c>
      <c r="K10" s="107"/>
      <c r="L10" s="99"/>
      <c r="M10" s="99"/>
      <c r="N10" s="99"/>
      <c r="O10" s="99"/>
      <c r="P10" s="99">
        <v>40</v>
      </c>
    </row>
    <row r="11" spans="1:16">
      <c r="A11" s="98" t="s">
        <v>56</v>
      </c>
      <c r="B11" s="99">
        <v>8</v>
      </c>
      <c r="C11" s="99">
        <v>8</v>
      </c>
      <c r="D11" s="99">
        <v>8</v>
      </c>
      <c r="E11" s="99">
        <v>24</v>
      </c>
      <c r="F11" s="99">
        <v>56</v>
      </c>
      <c r="G11" s="99">
        <v>56</v>
      </c>
      <c r="H11" s="99">
        <v>56</v>
      </c>
      <c r="I11" s="99">
        <v>56</v>
      </c>
      <c r="J11" s="99">
        <v>248</v>
      </c>
      <c r="K11" s="107">
        <v>56</v>
      </c>
      <c r="L11" s="99">
        <v>56</v>
      </c>
      <c r="M11" s="99">
        <v>56</v>
      </c>
      <c r="N11" s="99">
        <v>48</v>
      </c>
      <c r="O11" s="99">
        <v>216</v>
      </c>
      <c r="P11" s="99">
        <v>464</v>
      </c>
    </row>
    <row r="12" spans="1:16">
      <c r="A12" s="101" t="s">
        <v>48</v>
      </c>
      <c r="B12" s="99">
        <v>8</v>
      </c>
      <c r="C12" s="99">
        <v>8</v>
      </c>
      <c r="D12" s="99">
        <v>8</v>
      </c>
      <c r="E12" s="99">
        <v>24</v>
      </c>
      <c r="F12" s="99">
        <v>48</v>
      </c>
      <c r="G12" s="99">
        <v>40</v>
      </c>
      <c r="H12" s="99">
        <v>40</v>
      </c>
      <c r="I12" s="99">
        <v>56</v>
      </c>
      <c r="J12" s="99">
        <v>208</v>
      </c>
      <c r="K12" s="107">
        <v>56</v>
      </c>
      <c r="L12" s="99">
        <v>56</v>
      </c>
      <c r="M12" s="99">
        <v>40</v>
      </c>
      <c r="N12" s="99">
        <v>48</v>
      </c>
      <c r="O12" s="99">
        <v>200</v>
      </c>
      <c r="P12" s="99">
        <v>408</v>
      </c>
    </row>
    <row r="13" spans="1:16">
      <c r="A13" s="101" t="s">
        <v>46</v>
      </c>
      <c r="B13" s="99"/>
      <c r="C13" s="99"/>
      <c r="D13" s="99"/>
      <c r="E13" s="99"/>
      <c r="F13" s="99"/>
      <c r="G13" s="99">
        <v>16</v>
      </c>
      <c r="H13" s="99"/>
      <c r="I13" s="99"/>
      <c r="J13" s="99">
        <v>16</v>
      </c>
      <c r="K13" s="107"/>
      <c r="L13" s="99"/>
      <c r="M13" s="99"/>
      <c r="N13" s="99"/>
      <c r="O13" s="99"/>
      <c r="P13" s="99">
        <v>16</v>
      </c>
    </row>
    <row r="14" spans="1:16">
      <c r="A14" s="101" t="s">
        <v>52</v>
      </c>
      <c r="B14" s="99"/>
      <c r="C14" s="99"/>
      <c r="D14" s="99"/>
      <c r="E14" s="99"/>
      <c r="F14" s="99">
        <v>8</v>
      </c>
      <c r="G14" s="99"/>
      <c r="H14" s="99">
        <v>16</v>
      </c>
      <c r="I14" s="99"/>
      <c r="J14" s="99">
        <v>24</v>
      </c>
      <c r="K14" s="107"/>
      <c r="L14" s="99"/>
      <c r="M14" s="99">
        <v>16</v>
      </c>
      <c r="N14" s="99"/>
      <c r="O14" s="99">
        <v>16</v>
      </c>
      <c r="P14" s="99">
        <v>40</v>
      </c>
    </row>
    <row r="15" spans="1:16">
      <c r="A15" s="98" t="s">
        <v>53</v>
      </c>
      <c r="B15" s="99">
        <v>8</v>
      </c>
      <c r="C15" s="99">
        <v>8</v>
      </c>
      <c r="D15" s="99">
        <v>8</v>
      </c>
      <c r="E15" s="99">
        <v>24</v>
      </c>
      <c r="F15" s="99">
        <v>56</v>
      </c>
      <c r="G15" s="99">
        <v>56</v>
      </c>
      <c r="H15" s="99">
        <v>56</v>
      </c>
      <c r="I15" s="99">
        <v>56</v>
      </c>
      <c r="J15" s="99">
        <v>248</v>
      </c>
      <c r="K15" s="107">
        <v>56</v>
      </c>
      <c r="L15" s="99">
        <v>56</v>
      </c>
      <c r="M15" s="99">
        <v>56</v>
      </c>
      <c r="N15" s="99">
        <v>56</v>
      </c>
      <c r="O15" s="99">
        <v>224</v>
      </c>
      <c r="P15" s="99">
        <v>472</v>
      </c>
    </row>
    <row r="16" spans="1:16">
      <c r="A16" s="101" t="s">
        <v>48</v>
      </c>
      <c r="B16" s="99">
        <v>8</v>
      </c>
      <c r="C16" s="99">
        <v>8</v>
      </c>
      <c r="D16" s="99">
        <v>8</v>
      </c>
      <c r="E16" s="99">
        <v>24</v>
      </c>
      <c r="F16" s="99">
        <v>16</v>
      </c>
      <c r="G16" s="99">
        <v>56</v>
      </c>
      <c r="H16" s="99">
        <v>56</v>
      </c>
      <c r="I16" s="99">
        <v>32</v>
      </c>
      <c r="J16" s="99">
        <v>184</v>
      </c>
      <c r="K16" s="107">
        <v>16</v>
      </c>
      <c r="L16" s="99">
        <v>56</v>
      </c>
      <c r="M16" s="99">
        <v>56</v>
      </c>
      <c r="N16" s="99">
        <v>56</v>
      </c>
      <c r="O16" s="99">
        <v>184</v>
      </c>
      <c r="P16" s="99">
        <v>368</v>
      </c>
    </row>
    <row r="17" spans="1:16">
      <c r="A17" s="101" t="s">
        <v>46</v>
      </c>
      <c r="B17" s="99"/>
      <c r="C17" s="99"/>
      <c r="D17" s="99"/>
      <c r="E17" s="99"/>
      <c r="F17" s="99"/>
      <c r="G17" s="99"/>
      <c r="H17" s="99"/>
      <c r="I17" s="99">
        <v>24</v>
      </c>
      <c r="J17" s="99">
        <v>24</v>
      </c>
      <c r="K17" s="107">
        <v>40</v>
      </c>
      <c r="L17" s="99"/>
      <c r="M17" s="99"/>
      <c r="N17" s="99"/>
      <c r="O17" s="99">
        <v>40</v>
      </c>
      <c r="P17" s="99">
        <v>64</v>
      </c>
    </row>
    <row r="18" spans="1:16">
      <c r="A18" s="101" t="s">
        <v>52</v>
      </c>
      <c r="B18" s="99"/>
      <c r="C18" s="99"/>
      <c r="D18" s="99"/>
      <c r="E18" s="99"/>
      <c r="F18" s="99">
        <v>40</v>
      </c>
      <c r="G18" s="99"/>
      <c r="H18" s="99"/>
      <c r="I18" s="99"/>
      <c r="J18" s="99">
        <v>40</v>
      </c>
      <c r="K18" s="107"/>
      <c r="L18" s="99"/>
      <c r="M18" s="99"/>
      <c r="N18" s="99"/>
      <c r="O18" s="99"/>
      <c r="P18" s="99">
        <v>40</v>
      </c>
    </row>
    <row r="19" spans="1:16">
      <c r="A19" s="98" t="s">
        <v>55</v>
      </c>
      <c r="B19" s="99">
        <v>8</v>
      </c>
      <c r="C19" s="99">
        <v>8</v>
      </c>
      <c r="D19" s="99">
        <v>8</v>
      </c>
      <c r="E19" s="99">
        <v>24</v>
      </c>
      <c r="F19" s="99">
        <v>56</v>
      </c>
      <c r="G19" s="99">
        <v>56</v>
      </c>
      <c r="H19" s="99">
        <v>56</v>
      </c>
      <c r="I19" s="99">
        <v>56</v>
      </c>
      <c r="J19" s="99">
        <v>248</v>
      </c>
      <c r="K19" s="107">
        <v>56</v>
      </c>
      <c r="L19" s="99">
        <v>56</v>
      </c>
      <c r="M19" s="99">
        <v>56</v>
      </c>
      <c r="N19" s="99">
        <v>56</v>
      </c>
      <c r="O19" s="99">
        <v>224</v>
      </c>
      <c r="P19" s="99">
        <v>472</v>
      </c>
    </row>
    <row r="20" spans="1:16">
      <c r="A20" s="101" t="s">
        <v>48</v>
      </c>
      <c r="B20" s="99">
        <v>8</v>
      </c>
      <c r="C20" s="99">
        <v>8</v>
      </c>
      <c r="D20" s="99">
        <v>8</v>
      </c>
      <c r="E20" s="99">
        <v>24</v>
      </c>
      <c r="F20" s="99">
        <v>56</v>
      </c>
      <c r="G20" s="99">
        <v>24</v>
      </c>
      <c r="H20" s="99">
        <v>56</v>
      </c>
      <c r="I20" s="99">
        <v>56</v>
      </c>
      <c r="J20" s="99">
        <v>216</v>
      </c>
      <c r="K20" s="107">
        <v>56</v>
      </c>
      <c r="L20" s="99">
        <v>48</v>
      </c>
      <c r="M20" s="99"/>
      <c r="N20" s="99">
        <v>56</v>
      </c>
      <c r="O20" s="99">
        <v>160</v>
      </c>
      <c r="P20" s="99">
        <v>376</v>
      </c>
    </row>
    <row r="21" spans="1:16">
      <c r="A21" s="101" t="s">
        <v>46</v>
      </c>
      <c r="B21" s="99"/>
      <c r="C21" s="99"/>
      <c r="D21" s="99"/>
      <c r="E21" s="99"/>
      <c r="F21" s="99"/>
      <c r="G21" s="99"/>
      <c r="H21" s="99"/>
      <c r="I21" s="99"/>
      <c r="J21" s="99"/>
      <c r="K21" s="107"/>
      <c r="L21" s="99">
        <v>8</v>
      </c>
      <c r="M21" s="99">
        <v>56</v>
      </c>
      <c r="N21" s="99"/>
      <c r="O21" s="99">
        <v>64</v>
      </c>
      <c r="P21" s="99">
        <v>64</v>
      </c>
    </row>
    <row r="22" spans="1:16">
      <c r="A22" s="101" t="s">
        <v>52</v>
      </c>
      <c r="B22" s="99"/>
      <c r="C22" s="99"/>
      <c r="D22" s="99"/>
      <c r="E22" s="99"/>
      <c r="F22" s="99"/>
      <c r="G22" s="99">
        <v>32</v>
      </c>
      <c r="H22" s="99"/>
      <c r="I22" s="99"/>
      <c r="J22" s="99">
        <v>32</v>
      </c>
      <c r="K22" s="107"/>
      <c r="L22" s="99"/>
      <c r="M22" s="99"/>
      <c r="N22" s="99"/>
      <c r="O22" s="99"/>
      <c r="P22" s="99">
        <v>32</v>
      </c>
    </row>
    <row r="23" spans="1:16">
      <c r="A23" s="98" t="s">
        <v>63</v>
      </c>
      <c r="B23" s="99">
        <v>32</v>
      </c>
      <c r="C23" s="99">
        <v>32</v>
      </c>
      <c r="D23" s="99">
        <v>32</v>
      </c>
      <c r="E23" s="99">
        <v>96</v>
      </c>
      <c r="F23" s="99">
        <v>224</v>
      </c>
      <c r="G23" s="99">
        <v>224</v>
      </c>
      <c r="H23" s="99">
        <v>224</v>
      </c>
      <c r="I23" s="99">
        <v>224</v>
      </c>
      <c r="J23" s="99">
        <v>992</v>
      </c>
      <c r="K23" s="107">
        <v>224</v>
      </c>
      <c r="L23" s="99">
        <v>224</v>
      </c>
      <c r="M23" s="99">
        <v>224</v>
      </c>
      <c r="N23" s="99">
        <v>216</v>
      </c>
      <c r="O23" s="99">
        <v>888</v>
      </c>
      <c r="P23" s="99">
        <v>1880</v>
      </c>
    </row>
  </sheetData>
  <pageMargins left="0.7" right="0.7" top="0.78740157499999996" bottom="0.78740157499999996" header="0.3" footer="0.3"/>
  <pageSetup paperSize="9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EDD-89A0-47C0-89D2-878D66F380D4}">
  <dimension ref="A1:M12"/>
  <sheetViews>
    <sheetView showGridLines="0" workbookViewId="0">
      <selection activeCell="G26" sqref="G26"/>
    </sheetView>
  </sheetViews>
  <sheetFormatPr defaultColWidth="11.42578125" defaultRowHeight="14.45"/>
  <cols>
    <col min="1" max="1" width="18.7109375" bestFit="1" customWidth="1"/>
    <col min="2" max="2" width="22.28515625" bestFit="1" customWidth="1"/>
    <col min="3" max="6" width="4.85546875" bestFit="1" customWidth="1"/>
    <col min="7" max="7" width="14.140625" bestFit="1" customWidth="1"/>
    <col min="8" max="8" width="9.42578125" bestFit="1" customWidth="1"/>
    <col min="9" max="11" width="4.85546875" bestFit="1" customWidth="1"/>
    <col min="12" max="12" width="15" bestFit="1" customWidth="1"/>
    <col min="13" max="14" width="14.42578125" bestFit="1" customWidth="1"/>
  </cols>
  <sheetData>
    <row r="1" spans="1:13" ht="18">
      <c r="A1" s="102" t="s">
        <v>78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</row>
    <row r="2" spans="1:13">
      <c r="A2" s="97" t="s">
        <v>59</v>
      </c>
      <c r="B2" s="97" t="s">
        <v>60</v>
      </c>
    </row>
    <row r="3" spans="1:13">
      <c r="B3" t="s">
        <v>13</v>
      </c>
      <c r="G3" s="96" t="s">
        <v>61</v>
      </c>
      <c r="H3" t="s">
        <v>14</v>
      </c>
      <c r="L3" s="96" t="s">
        <v>62</v>
      </c>
      <c r="M3" s="96" t="s">
        <v>63</v>
      </c>
    </row>
    <row r="4" spans="1:13">
      <c r="A4" s="97" t="s">
        <v>79</v>
      </c>
      <c r="B4" s="96" t="s">
        <v>80</v>
      </c>
      <c r="C4" s="96" t="s">
        <v>81</v>
      </c>
      <c r="D4" s="96" t="s">
        <v>82</v>
      </c>
      <c r="E4" s="96" t="s">
        <v>83</v>
      </c>
      <c r="F4" s="96" t="s">
        <v>84</v>
      </c>
      <c r="G4" s="96"/>
      <c r="H4" s="96" t="s">
        <v>85</v>
      </c>
      <c r="I4" s="96" t="s">
        <v>86</v>
      </c>
      <c r="J4" s="96" t="s">
        <v>87</v>
      </c>
      <c r="K4" s="96" t="s">
        <v>88</v>
      </c>
      <c r="L4" s="96"/>
      <c r="M4" s="96"/>
    </row>
    <row r="5" spans="1:13">
      <c r="A5" s="98" t="s">
        <v>57</v>
      </c>
      <c r="B5" s="99">
        <v>24</v>
      </c>
      <c r="C5" s="99">
        <v>56</v>
      </c>
      <c r="D5" s="99">
        <v>56</v>
      </c>
      <c r="E5" s="99">
        <v>56</v>
      </c>
      <c r="F5" s="99">
        <v>56</v>
      </c>
      <c r="G5" s="99">
        <v>248</v>
      </c>
      <c r="H5" s="99">
        <v>56</v>
      </c>
      <c r="I5" s="99">
        <v>56</v>
      </c>
      <c r="J5" s="99">
        <v>56</v>
      </c>
      <c r="K5" s="99">
        <v>48</v>
      </c>
      <c r="L5" s="99">
        <v>216</v>
      </c>
      <c r="M5" s="99">
        <v>464</v>
      </c>
    </row>
    <row r="6" spans="1:13">
      <c r="A6" s="101" t="s">
        <v>56</v>
      </c>
      <c r="B6" s="99">
        <v>24</v>
      </c>
      <c r="C6" s="99">
        <v>56</v>
      </c>
      <c r="D6" s="99">
        <v>56</v>
      </c>
      <c r="E6" s="99">
        <v>56</v>
      </c>
      <c r="F6" s="99">
        <v>56</v>
      </c>
      <c r="G6" s="99">
        <v>248</v>
      </c>
      <c r="H6" s="99">
        <v>56</v>
      </c>
      <c r="I6" s="99">
        <v>56</v>
      </c>
      <c r="J6" s="99">
        <v>56</v>
      </c>
      <c r="K6" s="99">
        <v>48</v>
      </c>
      <c r="L6" s="99">
        <v>216</v>
      </c>
      <c r="M6" s="99">
        <v>464</v>
      </c>
    </row>
    <row r="7" spans="1:13">
      <c r="A7" s="98" t="s">
        <v>49</v>
      </c>
      <c r="B7" s="99">
        <v>24</v>
      </c>
      <c r="C7" s="99">
        <v>56</v>
      </c>
      <c r="D7" s="99">
        <v>56</v>
      </c>
      <c r="E7" s="99">
        <v>56</v>
      </c>
      <c r="F7" s="99">
        <v>56</v>
      </c>
      <c r="G7" s="99">
        <v>248</v>
      </c>
      <c r="H7" s="99">
        <v>56</v>
      </c>
      <c r="I7" s="99">
        <v>56</v>
      </c>
      <c r="J7" s="99">
        <v>56</v>
      </c>
      <c r="K7" s="99">
        <v>56</v>
      </c>
      <c r="L7" s="99">
        <v>224</v>
      </c>
      <c r="M7" s="99">
        <v>472</v>
      </c>
    </row>
    <row r="8" spans="1:13">
      <c r="A8" s="101" t="s">
        <v>47</v>
      </c>
      <c r="B8" s="99">
        <v>24</v>
      </c>
      <c r="C8" s="99">
        <v>56</v>
      </c>
      <c r="D8" s="99">
        <v>56</v>
      </c>
      <c r="E8" s="99">
        <v>56</v>
      </c>
      <c r="F8" s="99">
        <v>56</v>
      </c>
      <c r="G8" s="99">
        <v>248</v>
      </c>
      <c r="H8" s="99">
        <v>56</v>
      </c>
      <c r="I8" s="99">
        <v>56</v>
      </c>
      <c r="J8" s="99">
        <v>56</v>
      </c>
      <c r="K8" s="99">
        <v>56</v>
      </c>
      <c r="L8" s="99">
        <v>224</v>
      </c>
      <c r="M8" s="99">
        <v>472</v>
      </c>
    </row>
    <row r="9" spans="1:13">
      <c r="A9" s="98" t="s">
        <v>54</v>
      </c>
      <c r="B9" s="99">
        <v>48</v>
      </c>
      <c r="C9" s="99">
        <v>112</v>
      </c>
      <c r="D9" s="99">
        <v>112</v>
      </c>
      <c r="E9" s="99">
        <v>112</v>
      </c>
      <c r="F9" s="99">
        <v>112</v>
      </c>
      <c r="G9" s="99">
        <v>496</v>
      </c>
      <c r="H9" s="99">
        <v>112</v>
      </c>
      <c r="I9" s="99">
        <v>112</v>
      </c>
      <c r="J9" s="99">
        <v>112</v>
      </c>
      <c r="K9" s="99">
        <v>112</v>
      </c>
      <c r="L9" s="99">
        <v>448</v>
      </c>
      <c r="M9" s="99">
        <v>944</v>
      </c>
    </row>
    <row r="10" spans="1:13">
      <c r="A10" s="101" t="s">
        <v>53</v>
      </c>
      <c r="B10" s="99">
        <v>24</v>
      </c>
      <c r="C10" s="99">
        <v>56</v>
      </c>
      <c r="D10" s="99">
        <v>56</v>
      </c>
      <c r="E10" s="99">
        <v>56</v>
      </c>
      <c r="F10" s="99">
        <v>56</v>
      </c>
      <c r="G10" s="99">
        <v>248</v>
      </c>
      <c r="H10" s="99">
        <v>56</v>
      </c>
      <c r="I10" s="99">
        <v>56</v>
      </c>
      <c r="J10" s="99">
        <v>56</v>
      </c>
      <c r="K10" s="99">
        <v>56</v>
      </c>
      <c r="L10" s="99">
        <v>224</v>
      </c>
      <c r="M10" s="99">
        <v>472</v>
      </c>
    </row>
    <row r="11" spans="1:13">
      <c r="A11" s="101" t="s">
        <v>55</v>
      </c>
      <c r="B11" s="99">
        <v>24</v>
      </c>
      <c r="C11" s="99">
        <v>56</v>
      </c>
      <c r="D11" s="99">
        <v>56</v>
      </c>
      <c r="E11" s="99">
        <v>56</v>
      </c>
      <c r="F11" s="99">
        <v>56</v>
      </c>
      <c r="G11" s="99">
        <v>248</v>
      </c>
      <c r="H11" s="99">
        <v>56</v>
      </c>
      <c r="I11" s="99">
        <v>56</v>
      </c>
      <c r="J11" s="99">
        <v>56</v>
      </c>
      <c r="K11" s="99">
        <v>56</v>
      </c>
      <c r="L11" s="99">
        <v>224</v>
      </c>
      <c r="M11" s="99">
        <v>472</v>
      </c>
    </row>
    <row r="12" spans="1:13">
      <c r="A12" s="98" t="s">
        <v>63</v>
      </c>
      <c r="B12" s="99">
        <v>96</v>
      </c>
      <c r="C12" s="99">
        <v>224</v>
      </c>
      <c r="D12" s="99">
        <v>224</v>
      </c>
      <c r="E12" s="99">
        <v>224</v>
      </c>
      <c r="F12" s="99">
        <v>224</v>
      </c>
      <c r="G12" s="99">
        <v>992</v>
      </c>
      <c r="H12" s="99">
        <v>224</v>
      </c>
      <c r="I12" s="99">
        <v>224</v>
      </c>
      <c r="J12" s="99">
        <v>224</v>
      </c>
      <c r="K12" s="99">
        <v>216</v>
      </c>
      <c r="L12" s="99">
        <v>888</v>
      </c>
      <c r="M12" s="99">
        <v>1880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42EC4B4DEED47BAACA316DC88A3EC" ma:contentTypeVersion="8" ma:contentTypeDescription="Create a new document." ma:contentTypeScope="" ma:versionID="e597b1abbf9d66f01e571cb1a11bdad3">
  <xsd:schema xmlns:xsd="http://www.w3.org/2001/XMLSchema" xmlns:xs="http://www.w3.org/2001/XMLSchema" xmlns:p="http://schemas.microsoft.com/office/2006/metadata/properties" xmlns:ns2="a6e82b60-9929-489f-9d2c-61f8dac7588f" targetNamespace="http://schemas.microsoft.com/office/2006/metadata/properties" ma:root="true" ma:fieldsID="2a5f77318bea69e4f0f6e5d31c05d587" ns2:_="">
    <xsd:import namespace="a6e82b60-9929-489f-9d2c-61f8dac758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82b60-9929-489f-9d2c-61f8dac75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8619D2-7D75-46F3-8954-7D5B6FCB80C2}"/>
</file>

<file path=customXml/itemProps2.xml><?xml version="1.0" encoding="utf-8"?>
<ds:datastoreItem xmlns:ds="http://schemas.openxmlformats.org/officeDocument/2006/customXml" ds:itemID="{D857F0A7-215C-4986-9DC6-F1A1DD9BD2F5}"/>
</file>

<file path=customXml/itemProps3.xml><?xml version="1.0" encoding="utf-8"?>
<ds:datastoreItem xmlns:ds="http://schemas.openxmlformats.org/officeDocument/2006/customXml" ds:itemID="{EB58BF05-2A23-4FA0-BF87-13DB6B34E0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Mahringer Thomas</dc:creator>
  <cp:keywords/>
  <dc:description/>
  <cp:lastModifiedBy>Finkenstädt Johannes</cp:lastModifiedBy>
  <cp:revision/>
  <dcterms:created xsi:type="dcterms:W3CDTF">2021-01-19T20:15:13Z</dcterms:created>
  <dcterms:modified xsi:type="dcterms:W3CDTF">2021-04-14T09:50:07Z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0x010100D4942EC4B4DEED47BAACA316DC88A3EC</vt:lpwstr>
  </property>
</Properties>
</file>